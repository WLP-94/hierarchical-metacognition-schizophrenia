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<sst xmlns="http://schemas.openxmlformats.org/spreadsheetml/2006/main" count="19" uniqueCount="19">
  <si>
    <t>participant_id</t>
  </si>
  <si>
    <t>gender</t>
  </si>
  <si>
    <t>age</t>
  </si>
  <si>
    <t>group</t>
  </si>
  <si>
    <t>education_years</t>
  </si>
  <si>
    <t>E_d</t>
  </si>
  <si>
    <t>E_metad</t>
  </si>
  <si>
    <t>E_metad/d</t>
  </si>
  <si>
    <t>E_meanconfidence</t>
  </si>
  <si>
    <t>D_d</t>
  </si>
  <si>
    <t>D_metad</t>
  </si>
  <si>
    <t>D_metad/d</t>
  </si>
  <si>
    <t>D_meanconfidence</t>
  </si>
  <si>
    <t>total_d</t>
  </si>
  <si>
    <t>total_meta-d</t>
  </si>
  <si>
    <t>total_meta-d/d</t>
  </si>
  <si>
    <t>total_accuracy</t>
  </si>
  <si>
    <t>total_meanconfidence</t>
  </si>
  <si>
    <t>pre_rating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</si>
</sst>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2" fillId="1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8" fillId="29" borderId="7" applyNumberFormat="0" applyAlignment="0" applyProtection="0">
      <alignment vertical="center"/>
    </xf>
    <xf numFmtId="0" fontId="20" fillId="29" borderId="6" applyNumberFormat="0" applyAlignment="0" applyProtection="0">
      <alignment vertical="center"/>
    </xf>
    <xf numFmtId="0" fontId="9" fillId="7" borderId="2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0" fontId="0" fillId="0" borderId="0" xfId="0" applyNumberFormat="1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5"/>
  <sheetViews>
    <sheetView tabSelected="1" workbookViewId="0">
      <selection activeCell="S1" sqref="S1"/>
    </sheetView>
  </sheetViews>
  <sheetFormatPr defaultColWidth="9" defaultRowHeight="13.5"/>
  <cols>
    <col min="8" max="8" width="13.75"/>
    <col min="9" max="9" width="12.625"/>
    <col min="12" max="12" width="13.75"/>
    <col min="13" max="13" width="12.625"/>
    <col min="14" max="14" width="13.75"/>
    <col min="16" max="16" width="13.75"/>
  </cols>
  <sheetData>
    <row r="1" s="1" customFormat="1" spans="1:1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8" t="s">
        <v>8</v>
      </c>
      <c r="J1" s="3" t="s">
        <v>9</v>
      </c>
      <c r="K1" s="3" t="s">
        <v>10</v>
      </c>
      <c r="L1" s="3" t="s">
        <v>11</v>
      </c>
      <c r="M1" s="8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8" t="s">
        <v>17</v>
      </c>
      <c r="S1" s="3" t="s">
        <v>18</v>
      </c>
    </row>
    <row r="2" spans="1:19">
      <c r="A2" s="4">
        <v>101</v>
      </c>
      <c r="B2" s="4">
        <v>0</v>
      </c>
      <c r="C2" s="4">
        <v>29</v>
      </c>
      <c r="D2">
        <v>1</v>
      </c>
      <c r="E2" s="4">
        <v>12</v>
      </c>
      <c r="F2" s="5">
        <v>2.63824881180759</v>
      </c>
      <c r="G2" s="5">
        <v>2.52611615203727</v>
      </c>
      <c r="H2" s="5">
        <v>0.957497314404744</v>
      </c>
      <c r="I2" s="5">
        <v>5.11705729166667</v>
      </c>
      <c r="J2" s="5">
        <v>1.7688250385187</v>
      </c>
      <c r="K2" s="5">
        <v>0.407019263946451</v>
      </c>
      <c r="L2" s="5">
        <v>0.230107136140105</v>
      </c>
      <c r="M2" s="5">
        <v>4.191015625</v>
      </c>
      <c r="N2" s="5">
        <f>(F2+J2)/2</f>
        <v>2.20353692516314</v>
      </c>
      <c r="O2" s="5">
        <f>(G2+K2)/2</f>
        <v>1.46656770799186</v>
      </c>
      <c r="P2" s="5">
        <f>(H2+L2)/2</f>
        <v>0.593802225272424</v>
      </c>
      <c r="Q2" s="5">
        <v>0.84375</v>
      </c>
      <c r="R2" s="5">
        <v>4.65403645833333</v>
      </c>
      <c r="S2" s="4">
        <v>5.23124999999999</v>
      </c>
    </row>
    <row r="3" spans="1:19">
      <c r="A3" s="4">
        <v>102</v>
      </c>
      <c r="B3" s="4">
        <v>0</v>
      </c>
      <c r="C3" s="4">
        <v>37</v>
      </c>
      <c r="D3">
        <v>1</v>
      </c>
      <c r="E3" s="4">
        <v>12</v>
      </c>
      <c r="F3" s="5">
        <v>2.38396614311468</v>
      </c>
      <c r="G3" s="5">
        <v>0.3618039699672</v>
      </c>
      <c r="H3" s="5">
        <v>0.151765565552243</v>
      </c>
      <c r="I3" s="5">
        <v>3.90729166666666</v>
      </c>
      <c r="J3" s="5">
        <v>2.06780347559581</v>
      </c>
      <c r="K3" s="5">
        <v>1.72605070371249</v>
      </c>
      <c r="L3" s="5">
        <v>0.834726667250209</v>
      </c>
      <c r="M3" s="5">
        <v>4.120703125</v>
      </c>
      <c r="N3" s="5">
        <f>(F3+J3)/2</f>
        <v>2.22588480935524</v>
      </c>
      <c r="O3" s="5">
        <f>(G3+K3)/2</f>
        <v>1.04392733683984</v>
      </c>
      <c r="P3" s="5">
        <f>(H3+L3)/2</f>
        <v>0.493246116401226</v>
      </c>
      <c r="Q3" s="5">
        <v>0.895833333333333</v>
      </c>
      <c r="R3" s="5">
        <v>4.01399739583333</v>
      </c>
      <c r="S3" s="4">
        <v>4.015625</v>
      </c>
    </row>
    <row r="4" spans="1:19">
      <c r="A4" s="4">
        <v>103</v>
      </c>
      <c r="B4" s="4">
        <v>0</v>
      </c>
      <c r="C4" s="4">
        <v>22</v>
      </c>
      <c r="D4">
        <v>1</v>
      </c>
      <c r="E4" s="4">
        <v>15</v>
      </c>
      <c r="F4" s="5">
        <v>3.53765007703741</v>
      </c>
      <c r="G4" s="5">
        <v>1.97360236826392</v>
      </c>
      <c r="H4" s="5">
        <v>0.557885128626602</v>
      </c>
      <c r="I4" s="5">
        <v>5.094921875</v>
      </c>
      <c r="J4" s="5">
        <v>3.53765007703741</v>
      </c>
      <c r="K4" s="5">
        <v>1.97360236826392</v>
      </c>
      <c r="L4" s="5">
        <v>0.557885128626602</v>
      </c>
      <c r="M4" s="5">
        <v>5.15377604166667</v>
      </c>
      <c r="N4" s="5">
        <f>(F4+J4)/2</f>
        <v>3.53765007703741</v>
      </c>
      <c r="O4" s="5">
        <f>(G4+K4)/2</f>
        <v>1.97360236826392</v>
      </c>
      <c r="P4" s="5">
        <f>(H4+L4)/2</f>
        <v>0.557885128626602</v>
      </c>
      <c r="Q4" s="5">
        <v>0.989583333333333</v>
      </c>
      <c r="R4" s="5">
        <v>5.12434895833333</v>
      </c>
      <c r="S4" s="4">
        <v>2.88124999999999</v>
      </c>
    </row>
    <row r="5" spans="1:19">
      <c r="A5" s="4">
        <v>104</v>
      </c>
      <c r="B5" s="4">
        <v>0</v>
      </c>
      <c r="C5" s="4">
        <v>44</v>
      </c>
      <c r="D5">
        <v>1</v>
      </c>
      <c r="E5" s="4">
        <v>12</v>
      </c>
      <c r="F5" s="5">
        <v>2.63824881180759</v>
      </c>
      <c r="G5" s="5">
        <v>2.45125008465327</v>
      </c>
      <c r="H5" s="5">
        <v>0.929120132143186</v>
      </c>
      <c r="I5" s="5">
        <v>5.980078125</v>
      </c>
      <c r="J5" s="5">
        <v>1.7688250385187</v>
      </c>
      <c r="K5" s="5">
        <v>1.20117662997049</v>
      </c>
      <c r="L5" s="5">
        <v>0.679081652403796</v>
      </c>
      <c r="M5" s="5">
        <v>5.988671875</v>
      </c>
      <c r="N5" s="5">
        <f>(F5+J5)/2</f>
        <v>2.20353692516314</v>
      </c>
      <c r="O5" s="5">
        <f>(G5+K5)/2</f>
        <v>1.82621335731188</v>
      </c>
      <c r="P5" s="5">
        <f>(H5+L5)/2</f>
        <v>0.804100892273491</v>
      </c>
      <c r="Q5" s="5">
        <v>0.833333333333333</v>
      </c>
      <c r="R5" s="5">
        <v>5.984375</v>
      </c>
      <c r="S5" s="4">
        <v>5.98125</v>
      </c>
    </row>
    <row r="6" spans="1:19">
      <c r="A6" s="4">
        <v>105</v>
      </c>
      <c r="B6" s="4">
        <v>0</v>
      </c>
      <c r="C6" s="4">
        <v>26</v>
      </c>
      <c r="D6">
        <v>1</v>
      </c>
      <c r="E6" s="4">
        <v>9</v>
      </c>
      <c r="F6" s="5">
        <v>2.63824881180759</v>
      </c>
      <c r="G6" s="5">
        <v>-0.493783080294387</v>
      </c>
      <c r="H6" s="5">
        <v>-0.187163196315844</v>
      </c>
      <c r="I6" s="5">
        <v>4.05729166666666</v>
      </c>
      <c r="J6" s="5">
        <v>2.06780347559581</v>
      </c>
      <c r="K6" s="5">
        <v>0.134603247241852</v>
      </c>
      <c r="L6" s="5">
        <v>0.0650947968849254</v>
      </c>
      <c r="M6" s="5">
        <v>4.08528645833333</v>
      </c>
      <c r="N6" s="5">
        <f>(F6+J6)/2</f>
        <v>2.3530261437017</v>
      </c>
      <c r="O6" s="5">
        <f>(G6+K6)/2</f>
        <v>-0.179589916526267</v>
      </c>
      <c r="P6" s="5">
        <f>(H6+L6)/2</f>
        <v>-0.0610341997154593</v>
      </c>
      <c r="Q6" s="5">
        <v>0.875</v>
      </c>
      <c r="R6" s="5">
        <v>4.0712890625</v>
      </c>
      <c r="S6" s="4">
        <v>4.05</v>
      </c>
    </row>
    <row r="7" spans="1:19">
      <c r="A7" s="4">
        <v>106</v>
      </c>
      <c r="B7" s="4">
        <v>0</v>
      </c>
      <c r="C7" s="4">
        <v>37</v>
      </c>
      <c r="D7">
        <v>1</v>
      </c>
      <c r="E7" s="4">
        <v>9</v>
      </c>
      <c r="F7" s="5">
        <v>1.81352080690289</v>
      </c>
      <c r="G7" s="5">
        <v>1.34142605702017</v>
      </c>
      <c r="H7" s="5">
        <v>0.739680544008225</v>
      </c>
      <c r="I7" s="5">
        <v>5.32513020833333</v>
      </c>
      <c r="J7" s="5">
        <v>1.73884754657777</v>
      </c>
      <c r="K7" s="5">
        <v>2.70644835961258</v>
      </c>
      <c r="L7" s="5">
        <v>1.55646098183774</v>
      </c>
      <c r="M7" s="5">
        <v>5.28567708333333</v>
      </c>
      <c r="N7" s="5">
        <f>(F7+J7)/2</f>
        <v>1.77618417674033</v>
      </c>
      <c r="O7" s="5">
        <f>(G7+K7)/2</f>
        <v>2.02393720831637</v>
      </c>
      <c r="P7" s="5">
        <f>(H7+L7)/2</f>
        <v>1.14807076292298</v>
      </c>
      <c r="Q7" s="5">
        <v>0.854166666666667</v>
      </c>
      <c r="R7" s="5">
        <v>5.30540364583333</v>
      </c>
      <c r="S7" s="4">
        <v>4.02812499999999</v>
      </c>
    </row>
    <row r="8" spans="1:19">
      <c r="A8" s="4">
        <v>107</v>
      </c>
      <c r="B8" s="4">
        <v>0</v>
      </c>
      <c r="C8" s="4">
        <v>33</v>
      </c>
      <c r="D8">
        <v>1</v>
      </c>
      <c r="E8" s="4">
        <v>9</v>
      </c>
      <c r="F8" s="5">
        <v>3.53765007703741</v>
      </c>
      <c r="G8" s="5">
        <v>3.85085048232208</v>
      </c>
      <c r="H8" s="5">
        <v>1.08853346104455</v>
      </c>
      <c r="I8" s="5">
        <v>5.90286458333333</v>
      </c>
      <c r="J8" s="5">
        <v>2.39675940461384</v>
      </c>
      <c r="K8" s="5">
        <v>2.6219703477429</v>
      </c>
      <c r="L8" s="5">
        <v>1.09396476871876</v>
      </c>
      <c r="M8" s="5">
        <v>5.98619791666667</v>
      </c>
      <c r="N8" s="5">
        <f>(F8+J8)/2</f>
        <v>2.96720474082562</v>
      </c>
      <c r="O8" s="5">
        <f>(G8+K8)/2</f>
        <v>3.23641041503249</v>
      </c>
      <c r="P8" s="5">
        <f>(H8+L8)/2</f>
        <v>1.09124911488165</v>
      </c>
      <c r="Q8" s="5">
        <v>0.90625</v>
      </c>
      <c r="R8" s="5">
        <v>5.94453125</v>
      </c>
      <c r="S8" s="4">
        <v>5.03125</v>
      </c>
    </row>
    <row r="9" spans="1:19">
      <c r="A9" s="4">
        <v>108</v>
      </c>
      <c r="B9" s="4">
        <v>0</v>
      </c>
      <c r="C9" s="4">
        <v>40</v>
      </c>
      <c r="D9">
        <v>1</v>
      </c>
      <c r="E9" s="4">
        <v>9</v>
      </c>
      <c r="F9" s="5">
        <v>2.96720474082563</v>
      </c>
      <c r="G9" s="5">
        <v>2.79047441861664</v>
      </c>
      <c r="H9" s="5">
        <v>0.940438784092867</v>
      </c>
      <c r="I9" s="5">
        <v>5.16875</v>
      </c>
      <c r="J9" s="5">
        <v>1.19837970230692</v>
      </c>
      <c r="K9" s="5">
        <v>1.06229135337741</v>
      </c>
      <c r="L9" s="5">
        <v>0.886439707992769</v>
      </c>
      <c r="M9" s="5">
        <v>4.34908854166667</v>
      </c>
      <c r="N9" s="5">
        <f>(F9+J9)/2</f>
        <v>2.08279222156627</v>
      </c>
      <c r="O9" s="5">
        <f>(G9+K9)/2</f>
        <v>1.92638288599703</v>
      </c>
      <c r="P9" s="5">
        <f>(H9+L9)/2</f>
        <v>0.913439246042818</v>
      </c>
      <c r="Q9" s="5">
        <v>0.864583333333333</v>
      </c>
      <c r="R9" s="5">
        <v>4.75891927083333</v>
      </c>
      <c r="S9" s="4">
        <v>3.971875</v>
      </c>
    </row>
    <row r="10" spans="1:19">
      <c r="A10" s="4">
        <v>109</v>
      </c>
      <c r="B10" s="4">
        <v>0</v>
      </c>
      <c r="C10" s="4">
        <v>23</v>
      </c>
      <c r="D10">
        <v>1</v>
      </c>
      <c r="E10" s="4">
        <v>9</v>
      </c>
      <c r="F10" s="5">
        <v>2.16455033433319</v>
      </c>
      <c r="G10" s="5">
        <v>2.41314968150686</v>
      </c>
      <c r="H10" s="5">
        <v>1.11485034246166</v>
      </c>
      <c r="I10" s="5">
        <v>5.87018229166667</v>
      </c>
      <c r="J10" s="5">
        <v>1.01086640041046</v>
      </c>
      <c r="K10" s="5">
        <v>-0.04096975608729</v>
      </c>
      <c r="L10" s="5">
        <v>-0.040529347963939</v>
      </c>
      <c r="M10" s="5">
        <v>5.31015625</v>
      </c>
      <c r="N10" s="5">
        <f>(F10+J10)/2</f>
        <v>1.58770836737183</v>
      </c>
      <c r="O10" s="5">
        <f>(G10+K10)/2</f>
        <v>1.18608996270978</v>
      </c>
      <c r="P10" s="5">
        <f>(H10+L10)/2</f>
        <v>0.537160497248861</v>
      </c>
      <c r="Q10" s="5">
        <v>0.802083333333333</v>
      </c>
      <c r="R10" s="5">
        <v>5.59016927083333</v>
      </c>
      <c r="S10" s="5">
        <v>87</v>
      </c>
    </row>
    <row r="11" spans="1:19">
      <c r="A11" s="4">
        <v>110</v>
      </c>
      <c r="B11" s="4">
        <v>0</v>
      </c>
      <c r="C11" s="4">
        <v>17</v>
      </c>
      <c r="D11">
        <v>1</v>
      </c>
      <c r="E11" s="4">
        <v>11</v>
      </c>
      <c r="F11" s="5">
        <v>2.39675940461384</v>
      </c>
      <c r="G11" s="5">
        <v>4.09078334948211</v>
      </c>
      <c r="H11" s="5">
        <v>1.70679766254685</v>
      </c>
      <c r="I11" s="5">
        <v>5.200390625</v>
      </c>
      <c r="J11" s="5">
        <v>1.59410499812141</v>
      </c>
      <c r="K11" s="5">
        <v>1.32374707621509</v>
      </c>
      <c r="L11" s="5">
        <v>0.83040143389242</v>
      </c>
      <c r="M11" s="5">
        <v>3.93502604166667</v>
      </c>
      <c r="N11" s="5">
        <f>(F11+J11)/2</f>
        <v>1.99543220136762</v>
      </c>
      <c r="O11" s="5">
        <f>(G11+K11)/2</f>
        <v>2.7072652128486</v>
      </c>
      <c r="P11" s="5">
        <f>(H11+L11)/2</f>
        <v>1.26859954821964</v>
      </c>
      <c r="Q11" s="5">
        <v>0.885416666666667</v>
      </c>
      <c r="R11" s="5">
        <v>4.41614583333333</v>
      </c>
      <c r="S11" s="4">
        <v>69</v>
      </c>
    </row>
    <row r="12" spans="1:19">
      <c r="A12" s="4">
        <v>111</v>
      </c>
      <c r="B12" s="4">
        <v>1</v>
      </c>
      <c r="C12" s="4">
        <v>17</v>
      </c>
      <c r="D12">
        <v>1</v>
      </c>
      <c r="E12" s="4">
        <v>10</v>
      </c>
      <c r="F12" s="5">
        <v>2.38396614311468</v>
      </c>
      <c r="G12" s="5">
        <v>2.33806202081779</v>
      </c>
      <c r="H12" s="5">
        <v>0.980744641684838</v>
      </c>
      <c r="I12" s="5">
        <v>4.603515625</v>
      </c>
      <c r="J12" s="5">
        <v>2.06780347559581</v>
      </c>
      <c r="K12" s="5">
        <v>0.895503135224619</v>
      </c>
      <c r="L12" s="5">
        <v>0.433069750483223</v>
      </c>
      <c r="M12" s="5">
        <v>3.64674479166666</v>
      </c>
      <c r="N12" s="5">
        <f>(F12+J12)/2</f>
        <v>2.22588480935524</v>
      </c>
      <c r="O12" s="5">
        <f>(G12+K12)/2</f>
        <v>1.6167825780212</v>
      </c>
      <c r="P12" s="5">
        <f>(H12+L12)/2</f>
        <v>0.706907196084031</v>
      </c>
      <c r="Q12" s="5">
        <v>0.875</v>
      </c>
      <c r="R12" s="5">
        <v>4.12513020833333</v>
      </c>
      <c r="S12" s="4">
        <v>60</v>
      </c>
    </row>
    <row r="13" spans="1:19">
      <c r="A13" s="4">
        <v>112</v>
      </c>
      <c r="B13" s="4">
        <v>1</v>
      </c>
      <c r="C13" s="4">
        <v>31</v>
      </c>
      <c r="D13">
        <v>1</v>
      </c>
      <c r="E13" s="4">
        <v>9</v>
      </c>
      <c r="F13" s="5">
        <v>2.06780347559581</v>
      </c>
      <c r="G13" s="5">
        <v>2.38220094555978</v>
      </c>
      <c r="H13" s="5">
        <v>1.15204417328555</v>
      </c>
      <c r="I13" s="5">
        <v>4.97317708333333</v>
      </c>
      <c r="J13" s="5">
        <v>2.39675940461385</v>
      </c>
      <c r="K13" s="5">
        <v>0.991488835717872</v>
      </c>
      <c r="L13" s="5">
        <v>0.413678917378698</v>
      </c>
      <c r="M13" s="5">
        <v>5.067578125</v>
      </c>
      <c r="N13" s="5">
        <f>(F13+J13)/2</f>
        <v>2.23228144010483</v>
      </c>
      <c r="O13" s="5">
        <f>(G13+K13)/2</f>
        <v>1.68684489063883</v>
      </c>
      <c r="P13" s="5">
        <f>(H13+L13)/2</f>
        <v>0.782861545332124</v>
      </c>
      <c r="Q13" s="5">
        <v>0.895833333333333</v>
      </c>
      <c r="R13" s="5">
        <v>5.02037760416667</v>
      </c>
      <c r="S13" s="4">
        <v>2.975</v>
      </c>
    </row>
    <row r="14" spans="1:19">
      <c r="A14" s="4">
        <v>113</v>
      </c>
      <c r="B14" s="4">
        <v>1</v>
      </c>
      <c r="C14" s="4">
        <v>27</v>
      </c>
      <c r="D14">
        <v>1</v>
      </c>
      <c r="E14" s="4">
        <v>16</v>
      </c>
      <c r="F14" s="5">
        <v>2.38396614311468</v>
      </c>
      <c r="G14" s="5">
        <v>1.85018243728366</v>
      </c>
      <c r="H14" s="5">
        <v>0.776094258984054</v>
      </c>
      <c r="I14" s="5">
        <v>4.41614583333333</v>
      </c>
      <c r="J14" s="5">
        <v>1.06345191571281</v>
      </c>
      <c r="K14" s="5">
        <v>1.13346738041076</v>
      </c>
      <c r="L14" s="5">
        <v>1.0658379223954</v>
      </c>
      <c r="M14" s="5">
        <v>4.15403645833333</v>
      </c>
      <c r="N14" s="5">
        <f>(F14+J14)/2</f>
        <v>1.72370902941375</v>
      </c>
      <c r="O14" s="5">
        <f>(G14+K14)/2</f>
        <v>1.49182490884721</v>
      </c>
      <c r="P14" s="5">
        <f>(H14+L14)/2</f>
        <v>0.920966090689727</v>
      </c>
      <c r="Q14" s="5">
        <v>0.833333333333333</v>
      </c>
      <c r="R14" s="5">
        <v>4.28509114583333</v>
      </c>
      <c r="S14" s="4">
        <v>4.23125</v>
      </c>
    </row>
    <row r="15" spans="1:19">
      <c r="A15" s="4">
        <v>114</v>
      </c>
      <c r="B15" s="4">
        <v>1</v>
      </c>
      <c r="C15" s="4">
        <v>44</v>
      </c>
      <c r="D15">
        <v>1</v>
      </c>
      <c r="E15" s="4">
        <v>16</v>
      </c>
      <c r="F15" s="5">
        <v>1.73884754657777</v>
      </c>
      <c r="G15" s="5">
        <v>0.488914282272402</v>
      </c>
      <c r="H15" s="5">
        <v>0.281171447856159</v>
      </c>
      <c r="I15" s="5">
        <v>2.61927083333333</v>
      </c>
      <c r="J15" s="5">
        <v>0.583238597710951</v>
      </c>
      <c r="K15" s="5">
        <v>0.714901601870431</v>
      </c>
      <c r="L15" s="5">
        <v>1.22574466895061</v>
      </c>
      <c r="M15" s="5">
        <v>2.45494791666667</v>
      </c>
      <c r="N15" s="5">
        <f>(F15+J15)/2</f>
        <v>1.16104307214436</v>
      </c>
      <c r="O15" s="5">
        <f>(G15+K15)/2</f>
        <v>0.601907942071417</v>
      </c>
      <c r="P15" s="5">
        <f>(H15+L15)/2</f>
        <v>0.753458058403385</v>
      </c>
      <c r="Q15" s="5">
        <v>0.75</v>
      </c>
      <c r="R15" s="5">
        <v>2.537109375</v>
      </c>
      <c r="S15" s="4">
        <v>1.984375</v>
      </c>
    </row>
    <row r="16" spans="1:19">
      <c r="A16" s="4">
        <v>115</v>
      </c>
      <c r="B16" s="4">
        <v>1</v>
      </c>
      <c r="C16" s="4">
        <v>35</v>
      </c>
      <c r="D16">
        <v>1</v>
      </c>
      <c r="E16" s="4">
        <v>16</v>
      </c>
      <c r="F16" s="5">
        <v>2.96720474082563</v>
      </c>
      <c r="G16" s="5">
        <v>0.87954245155167</v>
      </c>
      <c r="H16" s="5">
        <v>0.29642122077054</v>
      </c>
      <c r="I16" s="5">
        <v>4.43177083333333</v>
      </c>
      <c r="J16" s="5">
        <v>2.96720474082563</v>
      </c>
      <c r="K16" s="5">
        <v>-0.134639902013867</v>
      </c>
      <c r="L16" s="5">
        <v>-0.0453760066372781</v>
      </c>
      <c r="M16" s="5">
        <v>4.60091145833333</v>
      </c>
      <c r="N16" s="5">
        <f>(F16+J16)/2</f>
        <v>2.96720474082563</v>
      </c>
      <c r="O16" s="5">
        <f>(G16+K16)/2</f>
        <v>0.372451274768901</v>
      </c>
      <c r="P16" s="5">
        <f>(H16+L16)/2</f>
        <v>0.125522607066631</v>
      </c>
      <c r="Q16" s="5">
        <v>0.947916666666667</v>
      </c>
      <c r="R16" s="5">
        <v>4.51634114583333</v>
      </c>
      <c r="S16" s="4">
        <v>3</v>
      </c>
    </row>
    <row r="17" spans="1:19">
      <c r="A17" s="4">
        <v>116</v>
      </c>
      <c r="B17" s="4">
        <v>1</v>
      </c>
      <c r="C17" s="4">
        <v>29</v>
      </c>
      <c r="D17">
        <v>1</v>
      </c>
      <c r="E17" s="4">
        <v>15</v>
      </c>
      <c r="F17" s="5">
        <v>2.38396614311467</v>
      </c>
      <c r="G17" s="5">
        <v>0.284378293349241</v>
      </c>
      <c r="H17" s="5">
        <v>0.11928789096715</v>
      </c>
      <c r="I17" s="5">
        <v>4.57786458333333</v>
      </c>
      <c r="J17" s="5">
        <v>0.473698477474398</v>
      </c>
      <c r="K17" s="5">
        <v>-1.03538647871515</v>
      </c>
      <c r="L17" s="5">
        <v>-2.18575006665735</v>
      </c>
      <c r="M17" s="5">
        <v>4.078515625</v>
      </c>
      <c r="N17" s="5">
        <f>(F17+J17)/2</f>
        <v>1.42883231029453</v>
      </c>
      <c r="O17" s="5">
        <f>(G17+K17)/2</f>
        <v>-0.375504092682955</v>
      </c>
      <c r="P17" s="5">
        <f>(H17+L17)/2</f>
        <v>-1.0332310878451</v>
      </c>
      <c r="Q17" s="5">
        <v>0.6875</v>
      </c>
      <c r="R17" s="5">
        <v>4.32819010416666</v>
      </c>
      <c r="S17" s="5">
        <v>2.05</v>
      </c>
    </row>
    <row r="18" spans="1:19">
      <c r="A18" s="4">
        <v>117</v>
      </c>
      <c r="B18" s="4">
        <v>1</v>
      </c>
      <c r="C18" s="4">
        <v>20</v>
      </c>
      <c r="D18">
        <v>1</v>
      </c>
      <c r="E18" s="4">
        <v>12</v>
      </c>
      <c r="F18" s="5">
        <v>2.06780347559581</v>
      </c>
      <c r="G18" s="5">
        <v>2.00099629122435</v>
      </c>
      <c r="H18" s="5">
        <v>0.967691714826907</v>
      </c>
      <c r="I18" s="5">
        <v>4.79140625</v>
      </c>
      <c r="J18" s="5">
        <v>1.73884754657777</v>
      </c>
      <c r="K18" s="5">
        <v>-0.696367100663835</v>
      </c>
      <c r="L18" s="5">
        <v>-0.400476224631858</v>
      </c>
      <c r="M18" s="5">
        <v>4.823828125</v>
      </c>
      <c r="N18" s="5">
        <f>(F18+J18)/2</f>
        <v>1.90332551108679</v>
      </c>
      <c r="O18" s="5">
        <f>(G18+K18)/2</f>
        <v>0.652314595280258</v>
      </c>
      <c r="P18" s="5">
        <f>(H18+L18)/2</f>
        <v>0.283607745097525</v>
      </c>
      <c r="Q18" s="5">
        <v>0.833333333333333</v>
      </c>
      <c r="R18" s="5">
        <v>4.8076171875</v>
      </c>
      <c r="S18" s="5">
        <v>5.009375</v>
      </c>
    </row>
    <row r="19" spans="1:19">
      <c r="A19" s="4">
        <v>118</v>
      </c>
      <c r="B19" s="4">
        <v>1</v>
      </c>
      <c r="C19" s="4">
        <v>38</v>
      </c>
      <c r="D19">
        <v>1</v>
      </c>
      <c r="E19" s="4">
        <v>6</v>
      </c>
      <c r="F19" s="5">
        <v>1.19837970230692</v>
      </c>
      <c r="G19" s="5">
        <v>-0.572623878178794</v>
      </c>
      <c r="H19" s="5">
        <v>-0.477831756559687</v>
      </c>
      <c r="I19" s="5">
        <v>2.019921875</v>
      </c>
      <c r="J19" s="5">
        <v>-0.421112962172047</v>
      </c>
      <c r="K19" s="5">
        <v>0.185062363435097</v>
      </c>
      <c r="L19" s="5">
        <v>-0.439460145041769</v>
      </c>
      <c r="M19" s="5">
        <v>2.019921875</v>
      </c>
      <c r="N19" s="5">
        <f>(F19+J19)/2</f>
        <v>0.388633370067436</v>
      </c>
      <c r="O19" s="5">
        <f>(G19+K19)/2</f>
        <v>-0.193780757371849</v>
      </c>
      <c r="P19" s="5">
        <f>(H19+L19)/2</f>
        <v>-0.458645950800728</v>
      </c>
      <c r="Q19" s="5">
        <v>0.5</v>
      </c>
      <c r="R19" s="5">
        <v>2.019921875</v>
      </c>
      <c r="S19" s="5">
        <v>4.003125</v>
      </c>
    </row>
    <row r="20" spans="1:19">
      <c r="A20" s="4">
        <v>119</v>
      </c>
      <c r="B20" s="4">
        <v>1</v>
      </c>
      <c r="C20" s="4">
        <v>25</v>
      </c>
      <c r="D20">
        <v>1</v>
      </c>
      <c r="E20" s="4">
        <v>9</v>
      </c>
      <c r="F20" s="5">
        <v>1.96285318094263</v>
      </c>
      <c r="G20" s="5">
        <v>0.967469627037964</v>
      </c>
      <c r="H20" s="5">
        <v>0.492889451147512</v>
      </c>
      <c r="I20" s="5">
        <v>3.87213541666667</v>
      </c>
      <c r="J20" s="5">
        <v>1.01086640041046</v>
      </c>
      <c r="K20" s="5">
        <v>-1.21979224492774</v>
      </c>
      <c r="L20" s="5">
        <v>-1.20667997712897</v>
      </c>
      <c r="M20" s="5">
        <v>3.59088541666667</v>
      </c>
      <c r="N20" s="5">
        <f>(F20+J20)/2</f>
        <v>1.48685979067655</v>
      </c>
      <c r="O20" s="5">
        <f>(G20+K20)/2</f>
        <v>-0.126161308944888</v>
      </c>
      <c r="P20" s="5">
        <f>(H20+L20)/2</f>
        <v>-0.356895262990729</v>
      </c>
      <c r="Q20" s="5">
        <v>0.75</v>
      </c>
      <c r="R20" s="5">
        <v>3.68416193181818</v>
      </c>
      <c r="S20" s="4">
        <v>2</v>
      </c>
    </row>
    <row r="21" spans="1:19">
      <c r="A21" s="4">
        <v>120</v>
      </c>
      <c r="B21" s="4">
        <v>1</v>
      </c>
      <c r="C21" s="4">
        <v>23</v>
      </c>
      <c r="D21">
        <v>1</v>
      </c>
      <c r="E21" s="4">
        <v>13</v>
      </c>
      <c r="F21" s="5">
        <v>2.63824881180759</v>
      </c>
      <c r="G21" s="5">
        <v>-0.412892901899494</v>
      </c>
      <c r="H21" s="5">
        <v>-0.156502639194444</v>
      </c>
      <c r="I21" s="5">
        <v>3.16171875</v>
      </c>
      <c r="J21" s="5">
        <v>2.06780347559581</v>
      </c>
      <c r="K21" s="5">
        <v>1.3571194427343</v>
      </c>
      <c r="L21" s="5">
        <v>0.656309682593639</v>
      </c>
      <c r="M21" s="5">
        <v>2.90182291666667</v>
      </c>
      <c r="N21" s="5">
        <f>(F21+J21)/2</f>
        <v>2.3530261437017</v>
      </c>
      <c r="O21" s="5">
        <f>(G21+K21)/2</f>
        <v>0.472113270417403</v>
      </c>
      <c r="P21" s="5">
        <f>(H21+L21)/2</f>
        <v>0.249903521699598</v>
      </c>
      <c r="Q21" s="5">
        <v>0.895833333333333</v>
      </c>
      <c r="R21" s="5">
        <v>3.03177083333333</v>
      </c>
      <c r="S21" s="4">
        <v>2</v>
      </c>
    </row>
    <row r="22" spans="1:19">
      <c r="A22" s="4">
        <v>121</v>
      </c>
      <c r="B22" s="4">
        <v>1</v>
      </c>
      <c r="C22" s="4">
        <v>26</v>
      </c>
      <c r="D22">
        <v>1</v>
      </c>
      <c r="E22" s="4">
        <v>12</v>
      </c>
      <c r="F22" s="5">
        <v>0.869423773288886</v>
      </c>
      <c r="G22" s="5">
        <v>-0.848592314955247</v>
      </c>
      <c r="H22" s="5">
        <v>-0.976039925553408</v>
      </c>
      <c r="I22" s="5">
        <v>5.069140625</v>
      </c>
      <c r="J22" s="5">
        <v>0.67539563086496</v>
      </c>
      <c r="K22" s="5">
        <v>-0.414867648896807</v>
      </c>
      <c r="L22" s="5">
        <v>-0.614258709914214</v>
      </c>
      <c r="M22" s="5">
        <v>4.82096354166667</v>
      </c>
      <c r="N22" s="5">
        <f>(F22+J22)/2</f>
        <v>0.772409702076923</v>
      </c>
      <c r="O22" s="5">
        <f>(G22+K22)/2</f>
        <v>-0.631729981926027</v>
      </c>
      <c r="P22" s="5">
        <f>(H22+L22)/2</f>
        <v>-0.795149317733811</v>
      </c>
      <c r="Q22" s="5">
        <v>0.666666666666667</v>
      </c>
      <c r="R22" s="5">
        <v>4.94505208333333</v>
      </c>
      <c r="S22" s="4">
        <v>4</v>
      </c>
    </row>
    <row r="23" spans="1:19">
      <c r="A23" s="4">
        <v>122</v>
      </c>
      <c r="B23" s="4">
        <v>1</v>
      </c>
      <c r="C23" s="4">
        <v>43</v>
      </c>
      <c r="D23">
        <v>1</v>
      </c>
      <c r="E23" s="4">
        <v>9</v>
      </c>
      <c r="F23" s="5">
        <v>-0.589753438238414</v>
      </c>
      <c r="G23" s="5">
        <v>-0.504187528818952</v>
      </c>
      <c r="H23" s="5">
        <v>0.854912402588027</v>
      </c>
      <c r="I23" s="5">
        <v>3.91015625</v>
      </c>
      <c r="J23" s="5">
        <v>0.395725295814487</v>
      </c>
      <c r="K23" s="5">
        <v>0.20881057076048</v>
      </c>
      <c r="L23" s="5">
        <v>0.527665461291027</v>
      </c>
      <c r="M23" s="5">
        <v>3.90611979166667</v>
      </c>
      <c r="N23" s="5">
        <f>(F23+J23)/2</f>
        <v>-0.0970140712119635</v>
      </c>
      <c r="O23" s="5">
        <f>(G23+K23)/2</f>
        <v>-0.147688479029236</v>
      </c>
      <c r="P23" s="5">
        <f>(H23+L23)/2</f>
        <v>0.691288931939527</v>
      </c>
      <c r="Q23" s="5">
        <v>0.4375</v>
      </c>
      <c r="R23" s="5">
        <v>3.90813802083333</v>
      </c>
      <c r="S23" s="4">
        <v>4</v>
      </c>
    </row>
    <row r="24" spans="1:19">
      <c r="A24" s="4">
        <v>123</v>
      </c>
      <c r="B24" s="4">
        <v>1</v>
      </c>
      <c r="C24" s="4">
        <v>45</v>
      </c>
      <c r="D24">
        <v>1</v>
      </c>
      <c r="E24" s="4">
        <v>12</v>
      </c>
      <c r="F24" s="5">
        <v>3.53765007703741</v>
      </c>
      <c r="G24" s="5">
        <v>3.62571043904541</v>
      </c>
      <c r="H24" s="5">
        <v>1.02489233250614</v>
      </c>
      <c r="I24" s="5">
        <v>5.803515625</v>
      </c>
      <c r="J24" s="5">
        <v>1.06345191571281</v>
      </c>
      <c r="K24" s="5">
        <v>2.50419051175425</v>
      </c>
      <c r="L24" s="5">
        <v>2.35477549549171</v>
      </c>
      <c r="M24" s="5">
        <v>5.1515625</v>
      </c>
      <c r="N24" s="5">
        <f>(F24+J24)/2</f>
        <v>2.30055099637511</v>
      </c>
      <c r="O24" s="5">
        <f>(G24+K24)/2</f>
        <v>3.06495047539983</v>
      </c>
      <c r="P24" s="5">
        <f>(H24+L24)/2</f>
        <v>1.68983391399893</v>
      </c>
      <c r="Q24" s="5">
        <v>0.854166666666667</v>
      </c>
      <c r="R24" s="5">
        <v>5.4775390625</v>
      </c>
      <c r="S24" s="5">
        <v>4</v>
      </c>
    </row>
    <row r="25" spans="1:19">
      <c r="A25" s="4">
        <v>124</v>
      </c>
      <c r="B25" s="4">
        <v>1</v>
      </c>
      <c r="C25" s="4">
        <v>44</v>
      </c>
      <c r="D25">
        <v>1</v>
      </c>
      <c r="E25" s="4">
        <v>6</v>
      </c>
      <c r="F25" s="5">
        <v>3.53765007703741</v>
      </c>
      <c r="G25" s="5">
        <v>2.0857837196113</v>
      </c>
      <c r="H25" s="5">
        <v>0.589595826096525</v>
      </c>
      <c r="I25" s="5">
        <v>5.20677083333333</v>
      </c>
      <c r="J25" s="5">
        <v>1.73884754657777</v>
      </c>
      <c r="K25" s="5">
        <v>2.36830452144951</v>
      </c>
      <c r="L25" s="5">
        <v>1.36199664318506</v>
      </c>
      <c r="M25" s="5">
        <v>3.75690104166667</v>
      </c>
      <c r="N25" s="5">
        <f>(F25+J25)/2</f>
        <v>2.63824881180759</v>
      </c>
      <c r="O25" s="5">
        <f>(G25+K25)/2</f>
        <v>2.2270441205304</v>
      </c>
      <c r="P25" s="5">
        <f>(H25+L25)/2</f>
        <v>0.975796234640793</v>
      </c>
      <c r="Q25" s="5">
        <v>0.90625</v>
      </c>
      <c r="R25" s="5">
        <v>4.4818359375</v>
      </c>
      <c r="S25" s="5">
        <v>1</v>
      </c>
    </row>
    <row r="26" spans="1:19">
      <c r="A26" s="4">
        <v>125</v>
      </c>
      <c r="B26" s="4">
        <v>1</v>
      </c>
      <c r="C26" s="4">
        <v>19</v>
      </c>
      <c r="D26">
        <v>1</v>
      </c>
      <c r="E26" s="4">
        <v>12</v>
      </c>
      <c r="F26" s="5">
        <v>2.63824881180759</v>
      </c>
      <c r="G26" s="5">
        <v>2.62370475508293</v>
      </c>
      <c r="H26" s="5">
        <v>0.9944872308254</v>
      </c>
      <c r="I26" s="5">
        <v>3.89375</v>
      </c>
      <c r="J26" s="5">
        <v>1.26514906910337</v>
      </c>
      <c r="K26" s="5">
        <v>-0.258247428087749</v>
      </c>
      <c r="L26" s="5">
        <v>-0.204124110268502</v>
      </c>
      <c r="M26" s="5">
        <v>3.62135416666666</v>
      </c>
      <c r="N26" s="5">
        <f>(F26+J26)/2</f>
        <v>1.95169894045548</v>
      </c>
      <c r="O26" s="5">
        <f>(G26+K26)/2</f>
        <v>1.18272866349759</v>
      </c>
      <c r="P26" s="5">
        <f>(H26+L26)/2</f>
        <v>0.395181560278449</v>
      </c>
      <c r="Q26" s="5">
        <v>0.833333333333333</v>
      </c>
      <c r="R26" s="5">
        <v>3.75755208333333</v>
      </c>
      <c r="S26" s="5"/>
    </row>
    <row r="27" spans="1:19">
      <c r="A27" s="4">
        <v>126</v>
      </c>
      <c r="B27" s="4">
        <v>1</v>
      </c>
      <c r="C27" s="4">
        <v>23</v>
      </c>
      <c r="D27">
        <v>1</v>
      </c>
      <c r="E27" s="4">
        <v>14</v>
      </c>
      <c r="F27" s="5">
        <v>3.53765007703741</v>
      </c>
      <c r="G27" s="5">
        <v>-0.070771157410572</v>
      </c>
      <c r="H27" s="5">
        <v>-0.020005132183633</v>
      </c>
      <c r="I27" s="5">
        <v>3.45546875</v>
      </c>
      <c r="J27" s="5">
        <v>2.06780347559581</v>
      </c>
      <c r="K27" s="5">
        <v>0.267696902308326</v>
      </c>
      <c r="L27" s="5">
        <v>0.129459547518747</v>
      </c>
      <c r="M27" s="5">
        <v>2.36510416666667</v>
      </c>
      <c r="N27" s="5">
        <f>(F27+J27)/2</f>
        <v>2.80272677631661</v>
      </c>
      <c r="O27" s="5">
        <f>(G27+K27)/2</f>
        <v>0.098462872448877</v>
      </c>
      <c r="P27" s="5">
        <f>(H27+L27)/2</f>
        <v>0.054727207667557</v>
      </c>
      <c r="Q27" s="5">
        <v>0.927083333333333</v>
      </c>
      <c r="R27" s="5">
        <v>2.91028645833333</v>
      </c>
      <c r="S27" s="5">
        <v>3.5</v>
      </c>
    </row>
    <row r="28" spans="1:19">
      <c r="A28" s="4">
        <v>127</v>
      </c>
      <c r="B28" s="4">
        <v>0</v>
      </c>
      <c r="C28" s="4">
        <v>37</v>
      </c>
      <c r="D28">
        <v>1</v>
      </c>
      <c r="E28" s="4">
        <v>9</v>
      </c>
      <c r="F28" s="5">
        <v>2.66046484731026</v>
      </c>
      <c r="G28" s="5">
        <v>1.12984181674432</v>
      </c>
      <c r="H28" s="5">
        <v>0.424678348179113</v>
      </c>
      <c r="I28" s="5">
        <v>3.95501302083333</v>
      </c>
      <c r="J28" s="5">
        <v>1.5157107090312</v>
      </c>
      <c r="K28" s="5">
        <v>1.46312658027376</v>
      </c>
      <c r="L28" s="5">
        <v>0.965307278991882</v>
      </c>
      <c r="M28" s="5">
        <v>2.9609375</v>
      </c>
      <c r="N28" s="5">
        <f>(F28+J28)/2</f>
        <v>2.08808777817073</v>
      </c>
      <c r="O28" s="5">
        <f>(G28+K28)/2</f>
        <v>1.29648419850904</v>
      </c>
      <c r="P28" s="5">
        <f>(H28+L28)/2</f>
        <v>0.694992813585497</v>
      </c>
      <c r="Q28" s="4">
        <v>0.8125</v>
      </c>
      <c r="R28" s="4">
        <v>3.45797526041667</v>
      </c>
      <c r="S28" s="4">
        <v>2</v>
      </c>
    </row>
    <row r="29" spans="1:19">
      <c r="A29" s="4">
        <v>128</v>
      </c>
      <c r="B29" s="4">
        <v>0</v>
      </c>
      <c r="C29" s="4">
        <v>38</v>
      </c>
      <c r="D29">
        <v>1</v>
      </c>
      <c r="E29" s="4">
        <v>9</v>
      </c>
      <c r="F29" s="5">
        <v>3.1472298458619</v>
      </c>
      <c r="G29" s="5">
        <v>1.7820082864322</v>
      </c>
      <c r="H29" s="5">
        <v>0.566214853603798</v>
      </c>
      <c r="I29" s="5">
        <v>5.56588541666666</v>
      </c>
      <c r="J29" s="5">
        <v>1.04020001046513</v>
      </c>
      <c r="K29" s="5">
        <v>0.102822563849572</v>
      </c>
      <c r="L29" s="5">
        <v>0.098848839468473</v>
      </c>
      <c r="M29" s="5">
        <v>5.00364583333333</v>
      </c>
      <c r="N29" s="5">
        <f>(F29+J29)/2</f>
        <v>2.09371492816352</v>
      </c>
      <c r="O29" s="5">
        <f>(G29+K29)/2</f>
        <v>0.942415425140886</v>
      </c>
      <c r="P29" s="5">
        <f>(H29+L29)/2</f>
        <v>0.332531846536135</v>
      </c>
      <c r="Q29" s="5">
        <v>0.822916666666667</v>
      </c>
      <c r="R29" s="5">
        <v>5.284765625</v>
      </c>
      <c r="S29" s="5">
        <v>5</v>
      </c>
    </row>
    <row r="30" spans="1:19">
      <c r="A30" s="4">
        <v>129</v>
      </c>
      <c r="B30" s="4">
        <v>0</v>
      </c>
      <c r="C30" s="4">
        <v>41</v>
      </c>
      <c r="D30">
        <v>1</v>
      </c>
      <c r="E30" s="4">
        <v>6</v>
      </c>
      <c r="F30" s="5">
        <v>2.55845225086166</v>
      </c>
      <c r="G30" s="5">
        <v>1.26660284291604</v>
      </c>
      <c r="H30" s="5">
        <v>0.495066047251599</v>
      </c>
      <c r="I30" s="5">
        <v>5.22845052083333</v>
      </c>
      <c r="J30" s="5">
        <v>1.85561892149613</v>
      </c>
      <c r="K30" s="5">
        <v>-0.343140248962893</v>
      </c>
      <c r="L30" s="5">
        <v>-0.184919567799098</v>
      </c>
      <c r="M30" s="5">
        <v>5.21692708333333</v>
      </c>
      <c r="N30" s="5">
        <f>(F30+J30)/2</f>
        <v>2.20703558617889</v>
      </c>
      <c r="O30" s="5">
        <f>(G30+K30)/2</f>
        <v>0.461731296976574</v>
      </c>
      <c r="P30" s="5">
        <f>(H30+L30)/2</f>
        <v>0.15507323972625</v>
      </c>
      <c r="Q30" s="5">
        <v>0.875</v>
      </c>
      <c r="R30" s="5">
        <v>5.22268880208333</v>
      </c>
      <c r="S30" s="5"/>
    </row>
    <row r="31" spans="1:19">
      <c r="A31" s="4">
        <v>130</v>
      </c>
      <c r="B31" s="4">
        <v>0</v>
      </c>
      <c r="C31" s="4">
        <v>39</v>
      </c>
      <c r="D31">
        <v>1</v>
      </c>
      <c r="E31" s="4">
        <v>12</v>
      </c>
      <c r="F31" s="5">
        <v>0.908420729460184</v>
      </c>
      <c r="G31" s="5">
        <v>0.305214765817977</v>
      </c>
      <c r="H31" s="5">
        <v>0.335983928943746</v>
      </c>
      <c r="I31" s="5">
        <v>1.492578125</v>
      </c>
      <c r="J31" s="5">
        <v>0.646828631151369</v>
      </c>
      <c r="K31" s="5">
        <v>0.130846954642758</v>
      </c>
      <c r="L31" s="5">
        <v>0.202289985849649</v>
      </c>
      <c r="M31" s="5">
        <v>1.50703125</v>
      </c>
      <c r="N31" s="5">
        <f>(F31+J31)/2</f>
        <v>0.777624680305776</v>
      </c>
      <c r="O31" s="5">
        <f>(G31+K31)/2</f>
        <v>0.218030860230367</v>
      </c>
      <c r="P31" s="5">
        <f>(H31+L31)/2</f>
        <v>0.269136957396698</v>
      </c>
      <c r="Q31" s="5">
        <v>0.625</v>
      </c>
      <c r="R31" s="5">
        <v>1.4998046875</v>
      </c>
      <c r="S31" s="5"/>
    </row>
    <row r="32" spans="1:19">
      <c r="A32" s="4">
        <v>131</v>
      </c>
      <c r="B32" s="4">
        <v>0</v>
      </c>
      <c r="C32" s="4">
        <v>47</v>
      </c>
      <c r="D32">
        <v>1</v>
      </c>
      <c r="E32" s="4">
        <v>9</v>
      </c>
      <c r="F32" s="5">
        <v>0.589455797849778</v>
      </c>
      <c r="G32" s="5">
        <v>0.467600946592407</v>
      </c>
      <c r="H32" s="5">
        <v>0.793275676137423</v>
      </c>
      <c r="I32" s="5">
        <v>3.89798177083333</v>
      </c>
      <c r="J32" s="5">
        <v>0.240033249636223</v>
      </c>
      <c r="K32" s="5">
        <v>0.747500849834122</v>
      </c>
      <c r="L32" s="5">
        <v>3.11415543874433</v>
      </c>
      <c r="M32" s="5">
        <v>3.8275390625</v>
      </c>
      <c r="N32" s="5">
        <f>(F32+J32)/2</f>
        <v>0.414744523743</v>
      </c>
      <c r="O32" s="5">
        <f>(G32+K32)/2</f>
        <v>0.607550898213264</v>
      </c>
      <c r="P32" s="5">
        <f>(H32+L32)/2</f>
        <v>1.95371555744088</v>
      </c>
      <c r="Q32" s="5">
        <v>0.583333333333333</v>
      </c>
      <c r="R32" s="5">
        <v>3.86276041666666</v>
      </c>
      <c r="S32" s="5"/>
    </row>
    <row r="33" spans="1:19">
      <c r="A33" s="4">
        <v>132</v>
      </c>
      <c r="B33" s="4">
        <v>0</v>
      </c>
      <c r="C33" s="4">
        <v>27</v>
      </c>
      <c r="D33">
        <v>1</v>
      </c>
      <c r="E33" s="4">
        <v>15</v>
      </c>
      <c r="F33" s="5">
        <v>4.10444176661497</v>
      </c>
      <c r="G33" s="5">
        <v>0.434667159821163</v>
      </c>
      <c r="H33" s="5">
        <v>0.105901651073891</v>
      </c>
      <c r="I33" s="5">
        <v>4.2205078125</v>
      </c>
      <c r="J33" s="5">
        <v>2.45047313824422</v>
      </c>
      <c r="K33" s="5">
        <v>0.730373510622787</v>
      </c>
      <c r="L33" s="5">
        <v>0.298054077485665</v>
      </c>
      <c r="M33" s="5">
        <v>3.7515625</v>
      </c>
      <c r="N33" s="5">
        <f>(F33+J33)/2</f>
        <v>3.2774574524296</v>
      </c>
      <c r="O33" s="5">
        <f>(G33+K33)/2</f>
        <v>0.582520335221975</v>
      </c>
      <c r="P33" s="5">
        <f>(H33+L33)/2</f>
        <v>0.201977864279778</v>
      </c>
      <c r="Q33" s="5">
        <v>0.947916666666667</v>
      </c>
      <c r="R33" s="5">
        <v>3.98603515625</v>
      </c>
      <c r="S33" s="4">
        <v>3.5</v>
      </c>
    </row>
    <row r="34" spans="1:19">
      <c r="A34" s="4">
        <v>133</v>
      </c>
      <c r="B34" s="4">
        <v>0</v>
      </c>
      <c r="C34" s="4">
        <v>19</v>
      </c>
      <c r="D34">
        <v>1</v>
      </c>
      <c r="E34" s="4">
        <v>9</v>
      </c>
      <c r="F34" s="5">
        <v>3.59774515209951</v>
      </c>
      <c r="G34" s="5">
        <v>-0.357545497836666</v>
      </c>
      <c r="H34" s="5">
        <v>-0.099380440448378</v>
      </c>
      <c r="I34" s="5">
        <v>3.352734375</v>
      </c>
      <c r="J34" s="5">
        <v>2.20091612807039</v>
      </c>
      <c r="K34" s="5">
        <v>0.653812136196298</v>
      </c>
      <c r="L34" s="5">
        <v>0.297063630847903</v>
      </c>
      <c r="M34" s="5">
        <v>3.3080078125</v>
      </c>
      <c r="N34" s="5">
        <f>(F34+J34)/2</f>
        <v>2.89933064008495</v>
      </c>
      <c r="O34" s="5">
        <f>(G34+K34)/2</f>
        <v>0.148133319179816</v>
      </c>
      <c r="P34" s="5">
        <f>(H34+L34)/2</f>
        <v>0.0988415951997625</v>
      </c>
      <c r="Q34" s="5">
        <v>0.927083333333333</v>
      </c>
      <c r="R34" s="5">
        <v>3.33037109375</v>
      </c>
      <c r="S34" s="5">
        <v>2</v>
      </c>
    </row>
    <row r="35" spans="1:19">
      <c r="A35" s="4">
        <v>134</v>
      </c>
      <c r="B35" s="4">
        <v>0</v>
      </c>
      <c r="C35" s="4">
        <v>35</v>
      </c>
      <c r="D35">
        <v>1</v>
      </c>
      <c r="E35" s="4">
        <v>9</v>
      </c>
      <c r="F35" s="5">
        <v>2.83734727496065</v>
      </c>
      <c r="G35" s="5">
        <v>2.96926311561441</v>
      </c>
      <c r="H35" s="5">
        <v>1.04649266651914</v>
      </c>
      <c r="I35" s="5">
        <v>5.9810546875</v>
      </c>
      <c r="J35" s="5">
        <v>1.41816577871706</v>
      </c>
      <c r="K35" s="5">
        <v>1.41096548014251</v>
      </c>
      <c r="L35" s="5">
        <v>0.99492280896733</v>
      </c>
      <c r="M35" s="5">
        <v>5.98997395833333</v>
      </c>
      <c r="N35" s="5">
        <f>(F35+J35)/2</f>
        <v>2.12775652683885</v>
      </c>
      <c r="O35" s="5">
        <f>(G35+K35)/2</f>
        <v>2.19011429787846</v>
      </c>
      <c r="P35" s="5">
        <f>(H35+L35)/2</f>
        <v>1.02070773774323</v>
      </c>
      <c r="Q35" s="5">
        <v>0.854166666666667</v>
      </c>
      <c r="R35" s="5">
        <v>5.98551432291667</v>
      </c>
      <c r="S35" s="4">
        <v>2</v>
      </c>
    </row>
    <row r="36" spans="1:19">
      <c r="A36" s="5">
        <v>201</v>
      </c>
      <c r="B36" s="4">
        <v>1</v>
      </c>
      <c r="C36" s="4">
        <v>19</v>
      </c>
      <c r="D36">
        <v>0</v>
      </c>
      <c r="E36" s="4">
        <v>13</v>
      </c>
      <c r="F36" s="5">
        <v>2.96720474082563</v>
      </c>
      <c r="G36" s="5">
        <v>2.2862933958589</v>
      </c>
      <c r="H36" s="5">
        <v>0.77052094329788</v>
      </c>
      <c r="I36" s="4">
        <v>4.26157407407407</v>
      </c>
      <c r="J36" s="5">
        <v>1.81352080690289</v>
      </c>
      <c r="K36" s="5">
        <v>2.30458098046991</v>
      </c>
      <c r="L36" s="5">
        <v>1.2707772481561</v>
      </c>
      <c r="M36" s="4">
        <v>4.57831790123456</v>
      </c>
      <c r="N36" s="4">
        <f>(E36+I36)/2</f>
        <v>8.63078703703703</v>
      </c>
      <c r="O36" s="4">
        <f>(F36+J36)/2</f>
        <v>2.39036277386426</v>
      </c>
      <c r="P36" s="4" t="e">
        <f>(#REF!+#REF!)/2</f>
        <v>#REF!</v>
      </c>
      <c r="Q36" s="4">
        <v>0.864583333333333</v>
      </c>
      <c r="R36" s="4">
        <v>4.41994598765432</v>
      </c>
      <c r="S36" s="4">
        <v>3.98765432098765</v>
      </c>
    </row>
    <row r="37" spans="1:19">
      <c r="A37" s="5">
        <v>202</v>
      </c>
      <c r="B37" s="4">
        <v>1</v>
      </c>
      <c r="C37" s="4">
        <v>19</v>
      </c>
      <c r="D37">
        <v>0</v>
      </c>
      <c r="E37" s="4">
        <v>13</v>
      </c>
      <c r="F37" s="5">
        <v>1.39240784473085</v>
      </c>
      <c r="G37" s="5">
        <v>2.37419422957996</v>
      </c>
      <c r="H37" s="5">
        <v>1.70509972244439</v>
      </c>
      <c r="I37" s="4">
        <v>4.90091145833333</v>
      </c>
      <c r="J37" s="5">
        <v>1.19837970230692</v>
      </c>
      <c r="K37" s="4">
        <v>-0.206471524068482</v>
      </c>
      <c r="L37" s="4">
        <v>-0.172292240657128</v>
      </c>
      <c r="M37" s="4">
        <v>5.00598958333333</v>
      </c>
      <c r="N37" s="4">
        <f>(E37+I37)/2</f>
        <v>8.95045572916666</v>
      </c>
      <c r="O37" s="4">
        <f>(F37+J37)/2</f>
        <v>1.29539377351889</v>
      </c>
      <c r="P37" s="4" t="e">
        <f>(#REF!+#REF!)/2</f>
        <v>#REF!</v>
      </c>
      <c r="Q37" s="4">
        <v>0.729166666666667</v>
      </c>
      <c r="R37" s="4">
        <v>4.95345052083333</v>
      </c>
      <c r="S37" s="4">
        <v>4.21562499999999</v>
      </c>
    </row>
    <row r="38" spans="1:19">
      <c r="A38" s="5">
        <v>203</v>
      </c>
      <c r="B38" s="4">
        <v>1</v>
      </c>
      <c r="C38" s="4">
        <v>19</v>
      </c>
      <c r="D38">
        <v>0</v>
      </c>
      <c r="E38" s="4">
        <v>13</v>
      </c>
      <c r="F38" s="5">
        <v>2.63824881180759</v>
      </c>
      <c r="G38" s="5">
        <v>3.4147877739505</v>
      </c>
      <c r="H38" s="5">
        <v>1.29433878968029</v>
      </c>
      <c r="I38" s="4">
        <v>5.0109375</v>
      </c>
      <c r="J38" s="5">
        <v>1.37309974270421</v>
      </c>
      <c r="K38" s="5">
        <v>1.02062124012191</v>
      </c>
      <c r="L38" s="5">
        <v>0.743297233536637</v>
      </c>
      <c r="M38" s="4">
        <v>4.42252604166667</v>
      </c>
      <c r="N38" s="4">
        <f>(E38+I38)/2</f>
        <v>9.00546875</v>
      </c>
      <c r="O38" s="4">
        <f>(F38+J38)/2</f>
        <v>2.0056742772559</v>
      </c>
      <c r="P38" s="4" t="e">
        <f>(#REF!+#REF!)/2</f>
        <v>#REF!</v>
      </c>
      <c r="Q38" s="4">
        <v>0.791666666666667</v>
      </c>
      <c r="R38" s="4">
        <v>4.71673177083333</v>
      </c>
      <c r="S38" s="4">
        <v>3.5</v>
      </c>
    </row>
    <row r="39" spans="1:19">
      <c r="A39" s="5">
        <v>204</v>
      </c>
      <c r="B39" s="4">
        <v>1</v>
      </c>
      <c r="C39" s="4">
        <v>19</v>
      </c>
      <c r="D39">
        <v>0</v>
      </c>
      <c r="E39" s="4">
        <v>13</v>
      </c>
      <c r="F39" s="5">
        <v>1.96285318094263</v>
      </c>
      <c r="G39" s="5">
        <v>1.49874865103468</v>
      </c>
      <c r="H39" s="5">
        <v>0.763556166903389</v>
      </c>
      <c r="I39" s="4">
        <v>5.73528645833333</v>
      </c>
      <c r="J39" s="5">
        <v>0.89940126522982</v>
      </c>
      <c r="K39" s="5">
        <v>0.310480374249544</v>
      </c>
      <c r="L39" s="5">
        <v>0.345207846878232</v>
      </c>
      <c r="M39" s="4">
        <v>5.54388020833333</v>
      </c>
      <c r="N39" s="4">
        <f>(E39+I39)/2</f>
        <v>9.36764322916667</v>
      </c>
      <c r="O39" s="4">
        <f>(F39+J39)/2</f>
        <v>1.43112722308623</v>
      </c>
      <c r="P39" s="4" t="e">
        <f>(#REF!+#REF!)/2</f>
        <v>#REF!</v>
      </c>
      <c r="Q39" s="4">
        <v>0.6875</v>
      </c>
      <c r="R39" s="4">
        <v>5.63958333333333</v>
      </c>
      <c r="S39" s="4">
        <v>3.03125</v>
      </c>
    </row>
    <row r="40" spans="1:19">
      <c r="A40" s="5">
        <v>205</v>
      </c>
      <c r="B40" s="4">
        <v>1</v>
      </c>
      <c r="C40" s="4">
        <v>19</v>
      </c>
      <c r="D40">
        <v>0</v>
      </c>
      <c r="E40" s="4">
        <v>13</v>
      </c>
      <c r="F40" s="5">
        <v>2.63824881180759</v>
      </c>
      <c r="G40" s="5">
        <v>2.39271279425862</v>
      </c>
      <c r="H40" s="5">
        <v>0.906932198187652</v>
      </c>
      <c r="I40" s="4">
        <v>4.538671875</v>
      </c>
      <c r="J40" s="5">
        <v>2.06780347559581</v>
      </c>
      <c r="K40" s="5">
        <v>0.953711838708626</v>
      </c>
      <c r="L40" s="5">
        <v>0.461219767721797</v>
      </c>
      <c r="M40" s="4">
        <v>3.8625</v>
      </c>
      <c r="N40" s="4">
        <f>(E40+I40)/2</f>
        <v>8.7693359375</v>
      </c>
      <c r="O40" s="4">
        <f>(F40+J40)/2</f>
        <v>2.3530261437017</v>
      </c>
      <c r="P40" s="4" t="e">
        <f>(#REF!+#REF!)/2</f>
        <v>#REF!</v>
      </c>
      <c r="Q40" s="4">
        <v>0.895833333333333</v>
      </c>
      <c r="R40" s="4">
        <v>4.2005859375</v>
      </c>
      <c r="S40" s="4">
        <v>3.9875</v>
      </c>
    </row>
    <row r="41" spans="1:19">
      <c r="A41" s="5">
        <v>206</v>
      </c>
      <c r="B41" s="4">
        <v>1</v>
      </c>
      <c r="C41" s="4">
        <v>19</v>
      </c>
      <c r="D41">
        <v>0</v>
      </c>
      <c r="E41" s="4">
        <v>13</v>
      </c>
      <c r="F41" s="5">
        <v>1.48456487788485</v>
      </c>
      <c r="G41" s="5">
        <v>1.59763099744705</v>
      </c>
      <c r="H41" s="5">
        <v>1.07616111713709</v>
      </c>
      <c r="I41" s="4">
        <v>3.760546875</v>
      </c>
      <c r="J41" s="5">
        <v>1.06345191571281</v>
      </c>
      <c r="K41" s="5">
        <v>1.57654987200431</v>
      </c>
      <c r="L41" s="5">
        <v>1.48248345666628</v>
      </c>
      <c r="M41" s="4">
        <v>3.56809895833333</v>
      </c>
      <c r="N41" s="4">
        <f>(E41+I41)/2</f>
        <v>8.3802734375</v>
      </c>
      <c r="O41" s="4">
        <f>(F41+J41)/2</f>
        <v>1.27400839679883</v>
      </c>
      <c r="P41" s="4" t="e">
        <f>(#REF!+#REF!)/2</f>
        <v>#REF!</v>
      </c>
      <c r="Q41" s="4">
        <v>0.760416666666667</v>
      </c>
      <c r="R41" s="4">
        <v>3.66432291666667</v>
      </c>
      <c r="S41" s="4">
        <v>2.2</v>
      </c>
    </row>
    <row r="42" spans="1:19">
      <c r="A42" s="5">
        <v>207</v>
      </c>
      <c r="B42" s="4">
        <v>1</v>
      </c>
      <c r="C42" s="4">
        <v>20</v>
      </c>
      <c r="D42">
        <v>0</v>
      </c>
      <c r="E42" s="4">
        <v>13</v>
      </c>
      <c r="F42" s="5">
        <v>1.48456487788485</v>
      </c>
      <c r="G42" s="5">
        <v>3.65297303226159</v>
      </c>
      <c r="H42" s="5">
        <v>2.46063549439899</v>
      </c>
      <c r="I42" s="4">
        <v>3.60300925925926</v>
      </c>
      <c r="J42" s="5">
        <v>1.73884754657777</v>
      </c>
      <c r="K42" s="5">
        <v>2.00720572507875</v>
      </c>
      <c r="L42" s="5">
        <v>1.15433105623844</v>
      </c>
      <c r="M42" s="4">
        <v>2.99204282407407</v>
      </c>
      <c r="N42" s="4">
        <f>(E42+I42)/2</f>
        <v>8.30150462962963</v>
      </c>
      <c r="O42" s="4">
        <f>(F42+J42)/2</f>
        <v>1.61170621223131</v>
      </c>
      <c r="P42" s="4" t="e">
        <f>(#REF!+#REF!)/2</f>
        <v>#REF!</v>
      </c>
      <c r="Q42" s="4">
        <v>0.833333333333333</v>
      </c>
      <c r="R42" s="4">
        <v>3.29752604166666</v>
      </c>
      <c r="S42" s="4">
        <v>1.49652777777777</v>
      </c>
    </row>
    <row r="43" spans="1:19">
      <c r="A43" s="5">
        <v>208</v>
      </c>
      <c r="B43" s="4">
        <v>1</v>
      </c>
      <c r="C43" s="4">
        <v>19</v>
      </c>
      <c r="D43">
        <v>0</v>
      </c>
      <c r="E43" s="4">
        <v>13</v>
      </c>
      <c r="F43" s="5">
        <v>2.38396614311468</v>
      </c>
      <c r="G43" s="4">
        <v>-0.679583428490343</v>
      </c>
      <c r="H43" s="4">
        <v>-0.285064211357657</v>
      </c>
      <c r="I43" s="4">
        <v>2.92288773148148</v>
      </c>
      <c r="J43" s="5">
        <v>1.01086640041046</v>
      </c>
      <c r="K43" s="5">
        <v>1.08628184926188</v>
      </c>
      <c r="L43" s="5">
        <v>1.07460476361743</v>
      </c>
      <c r="M43" s="4">
        <v>3.09953703703703</v>
      </c>
      <c r="N43" s="4">
        <f>(E43+I43)/2</f>
        <v>7.96144386574074</v>
      </c>
      <c r="O43" s="4">
        <f>(F43+J43)/2</f>
        <v>1.69741627176257</v>
      </c>
      <c r="P43" s="4" t="e">
        <f>(#REF!+#REF!)/2</f>
        <v>#REF!</v>
      </c>
      <c r="Q43" s="4">
        <v>0.864583333333333</v>
      </c>
      <c r="R43" s="4">
        <v>3.01121238425926</v>
      </c>
      <c r="S43" s="4">
        <v>2.99305555555555</v>
      </c>
    </row>
    <row r="44" spans="1:19">
      <c r="A44" s="5">
        <v>209</v>
      </c>
      <c r="B44" s="4">
        <v>1</v>
      </c>
      <c r="C44" s="4">
        <v>18</v>
      </c>
      <c r="D44">
        <v>0</v>
      </c>
      <c r="E44" s="4">
        <v>13</v>
      </c>
      <c r="F44" s="5">
        <v>2.06780347559581</v>
      </c>
      <c r="G44" s="5">
        <v>0.930781790966833</v>
      </c>
      <c r="H44" s="5">
        <v>0.450130683090491</v>
      </c>
      <c r="I44" s="4">
        <v>5.04479166666667</v>
      </c>
      <c r="J44" s="5">
        <v>1.48456487788485</v>
      </c>
      <c r="K44" s="5">
        <v>0.331626967150979</v>
      </c>
      <c r="L44" s="5">
        <v>0.223383276871986</v>
      </c>
      <c r="M44" s="4">
        <v>4.82955729166667</v>
      </c>
      <c r="N44" s="4">
        <f>(E44+I44)/2</f>
        <v>9.02239583333333</v>
      </c>
      <c r="O44" s="4">
        <f>(F44+J44)/2</f>
        <v>1.77618417674033</v>
      </c>
      <c r="P44" s="4" t="e">
        <f>(#REF!+#REF!)/2</f>
        <v>#REF!</v>
      </c>
      <c r="Q44" s="4">
        <v>0.84375</v>
      </c>
      <c r="R44" s="4">
        <v>4.93717447916667</v>
      </c>
      <c r="S44" s="4">
        <v>4.08125</v>
      </c>
    </row>
    <row r="45" spans="1:19">
      <c r="A45" s="5">
        <v>210</v>
      </c>
      <c r="B45" s="4">
        <v>0</v>
      </c>
      <c r="C45" s="4">
        <v>20</v>
      </c>
      <c r="D45">
        <v>0</v>
      </c>
      <c r="E45" s="4">
        <v>13</v>
      </c>
      <c r="F45" s="5">
        <v>2.39675940461384</v>
      </c>
      <c r="G45" s="4">
        <v>-0.0986566728201935</v>
      </c>
      <c r="H45" s="4">
        <v>-0.0411625266308649</v>
      </c>
      <c r="I45" s="4">
        <v>4.48776041666667</v>
      </c>
      <c r="J45" s="5">
        <v>1.48456487788485</v>
      </c>
      <c r="K45" s="5">
        <v>0.69118808311839</v>
      </c>
      <c r="L45" s="5">
        <v>0.465582941786393</v>
      </c>
      <c r="M45" s="4">
        <v>3.50078125</v>
      </c>
      <c r="N45" s="4">
        <f>(E45+I45)/2</f>
        <v>8.74388020833334</v>
      </c>
      <c r="O45" s="4">
        <f>(F45+J45)/2</f>
        <v>1.94066214124934</v>
      </c>
      <c r="P45" s="4" t="e">
        <f>(#REF!+#REF!)/2</f>
        <v>#REF!</v>
      </c>
      <c r="Q45" s="4">
        <v>0.854166666666667</v>
      </c>
      <c r="R45" s="4">
        <v>3.99427083333333</v>
      </c>
      <c r="S45" s="4">
        <v>1.153125</v>
      </c>
    </row>
    <row r="46" spans="1:19">
      <c r="A46" s="5">
        <v>211</v>
      </c>
      <c r="B46" s="4">
        <v>1</v>
      </c>
      <c r="C46" s="4">
        <v>20</v>
      </c>
      <c r="D46">
        <v>0</v>
      </c>
      <c r="E46" s="4">
        <v>13</v>
      </c>
      <c r="F46" s="5">
        <v>3.53765007703741</v>
      </c>
      <c r="G46" s="5">
        <v>0.846594283867687</v>
      </c>
      <c r="H46" s="5">
        <v>0.239309786279558</v>
      </c>
      <c r="I46" s="4">
        <v>4.7640625</v>
      </c>
      <c r="J46" s="5">
        <v>2.06780347559581</v>
      </c>
      <c r="K46" s="5">
        <v>0.972267520861521</v>
      </c>
      <c r="L46" s="5">
        <v>0.470193387493642</v>
      </c>
      <c r="M46" s="4">
        <v>4.29192708333333</v>
      </c>
      <c r="N46" s="4">
        <f>(E46+I46)/2</f>
        <v>8.88203125</v>
      </c>
      <c r="O46" s="4">
        <f>(F46+J46)/2</f>
        <v>2.80272677631661</v>
      </c>
      <c r="P46" s="4" t="e">
        <f>(#REF!+#REF!)/2</f>
        <v>#REF!</v>
      </c>
      <c r="Q46" s="4">
        <v>0.916666666666667</v>
      </c>
      <c r="R46" s="4">
        <v>4.52799479166667</v>
      </c>
      <c r="S46" s="4">
        <v>3.459375</v>
      </c>
    </row>
    <row r="47" spans="1:19">
      <c r="A47" s="5">
        <v>212</v>
      </c>
      <c r="B47" s="4">
        <v>1</v>
      </c>
      <c r="C47" s="4">
        <v>19</v>
      </c>
      <c r="D47">
        <v>0</v>
      </c>
      <c r="E47" s="4">
        <v>13</v>
      </c>
      <c r="F47" s="5">
        <v>1.06345191571281</v>
      </c>
      <c r="G47" s="5">
        <v>2.99279455116304</v>
      </c>
      <c r="H47" s="5">
        <v>2.81422648917514</v>
      </c>
      <c r="I47" s="4">
        <v>4.85</v>
      </c>
      <c r="J47" s="5">
        <v>1.26514906910337</v>
      </c>
      <c r="K47" s="5">
        <v>1.14467681730294</v>
      </c>
      <c r="L47" s="5">
        <v>0.904776239620671</v>
      </c>
      <c r="M47" s="4">
        <v>4.94778645833333</v>
      </c>
      <c r="N47" s="4">
        <f>(E47+I47)/2</f>
        <v>8.925</v>
      </c>
      <c r="O47" s="4">
        <f>(F47+J47)/2</f>
        <v>1.16430049240809</v>
      </c>
      <c r="P47" s="4" t="e">
        <f>(#REF!+#REF!)/2</f>
        <v>#REF!</v>
      </c>
      <c r="Q47" s="4">
        <v>0.75</v>
      </c>
      <c r="R47" s="4">
        <v>4.89889322916667</v>
      </c>
      <c r="S47" s="4">
        <v>5.084375</v>
      </c>
    </row>
    <row r="48" spans="1:19">
      <c r="A48" s="5">
        <v>213</v>
      </c>
      <c r="B48" s="4">
        <v>1</v>
      </c>
      <c r="C48" s="4">
        <v>20</v>
      </c>
      <c r="D48">
        <v>0</v>
      </c>
      <c r="E48" s="4">
        <v>14</v>
      </c>
      <c r="F48" s="5">
        <v>2.39675940461384</v>
      </c>
      <c r="G48" s="5">
        <v>2.79898041786891</v>
      </c>
      <c r="H48" s="5">
        <v>1.16781868571403</v>
      </c>
      <c r="I48" s="4">
        <v>5.10234375</v>
      </c>
      <c r="J48" s="5">
        <v>2.63824881180759</v>
      </c>
      <c r="K48" s="5">
        <v>2.13245243477201</v>
      </c>
      <c r="L48" s="5">
        <v>0.808283292018604</v>
      </c>
      <c r="M48" s="4">
        <v>3.7734375</v>
      </c>
      <c r="N48" s="4">
        <f>(E48+I48)/2</f>
        <v>9.551171875</v>
      </c>
      <c r="O48" s="4">
        <f>(F48+J48)/2</f>
        <v>2.51750410821071</v>
      </c>
      <c r="P48" s="4" t="e">
        <f>(#REF!+#REF!)/2</f>
        <v>#REF!</v>
      </c>
      <c r="Q48" s="4">
        <v>0.916666666666667</v>
      </c>
      <c r="R48" s="4">
        <v>4.437890625</v>
      </c>
      <c r="S48" s="4">
        <v>4.04375</v>
      </c>
    </row>
    <row r="49" spans="1:19">
      <c r="A49" s="5">
        <v>214</v>
      </c>
      <c r="B49" s="4">
        <v>1</v>
      </c>
      <c r="C49" s="4">
        <v>19</v>
      </c>
      <c r="D49">
        <v>0</v>
      </c>
      <c r="E49" s="4">
        <v>13</v>
      </c>
      <c r="F49" s="5">
        <v>2.96720474082563</v>
      </c>
      <c r="G49" s="5">
        <v>2.627001092502</v>
      </c>
      <c r="H49" s="5">
        <v>0.88534540820767</v>
      </c>
      <c r="I49" s="4">
        <v>4.90338541666666</v>
      </c>
      <c r="J49" s="4">
        <v>2.38396614311467</v>
      </c>
      <c r="K49" s="5">
        <v>1.79932349964093</v>
      </c>
      <c r="L49" s="5">
        <v>0.75476050901046</v>
      </c>
      <c r="M49" s="4">
        <v>4.4984375</v>
      </c>
      <c r="N49" s="4">
        <f>(E49+I49)/2</f>
        <v>8.95169270833333</v>
      </c>
      <c r="O49" s="4">
        <f>(F49+J49)/2</f>
        <v>2.67558544197015</v>
      </c>
      <c r="P49" s="4" t="e">
        <f>(#REF!+#REF!)/2</f>
        <v>#REF!</v>
      </c>
      <c r="Q49" s="4">
        <v>0.895833333333333</v>
      </c>
      <c r="R49" s="4">
        <v>4.70091145833333</v>
      </c>
      <c r="S49" s="4">
        <v>2.9875</v>
      </c>
    </row>
    <row r="50" spans="1:19">
      <c r="A50" s="5">
        <v>215</v>
      </c>
      <c r="B50" s="4">
        <v>1</v>
      </c>
      <c r="C50" s="4">
        <v>19</v>
      </c>
      <c r="D50">
        <v>0</v>
      </c>
      <c r="E50" s="4">
        <v>13</v>
      </c>
      <c r="F50" s="5">
        <v>2.63824881180759</v>
      </c>
      <c r="G50" s="5">
        <v>1.41392405218005</v>
      </c>
      <c r="H50" s="5">
        <v>0.535932792180925</v>
      </c>
      <c r="I50" s="4">
        <v>4.948046875</v>
      </c>
      <c r="J50" s="5">
        <v>1.39240784473085</v>
      </c>
      <c r="K50" s="5">
        <v>0.833264154293514</v>
      </c>
      <c r="L50" s="5">
        <v>0.598433969936863</v>
      </c>
      <c r="M50" s="4">
        <v>3.87317708333333</v>
      </c>
      <c r="N50" s="4">
        <f>(E50+I50)/2</f>
        <v>8.9740234375</v>
      </c>
      <c r="O50" s="4">
        <f>(F50+J50)/2</f>
        <v>2.01532832826922</v>
      </c>
      <c r="P50" s="4" t="e">
        <f>(#REF!+#REF!)/2</f>
        <v>#REF!</v>
      </c>
      <c r="Q50" s="4">
        <v>0.822916666666667</v>
      </c>
      <c r="R50" s="4">
        <v>4.41061197916667</v>
      </c>
      <c r="S50" s="4">
        <v>3.44375</v>
      </c>
    </row>
    <row r="51" spans="1:19">
      <c r="A51" s="5">
        <v>216</v>
      </c>
      <c r="B51" s="4">
        <v>1</v>
      </c>
      <c r="C51" s="4">
        <v>19</v>
      </c>
      <c r="D51">
        <v>0</v>
      </c>
      <c r="E51" s="4">
        <v>13</v>
      </c>
      <c r="F51" s="5">
        <v>0.67539563086496</v>
      </c>
      <c r="G51" s="5">
        <v>1.07203234316569</v>
      </c>
      <c r="H51" s="5">
        <v>1.58726573607349</v>
      </c>
      <c r="I51" s="4">
        <v>3.95807291666667</v>
      </c>
      <c r="J51" s="5">
        <v>1.00435155988299</v>
      </c>
      <c r="K51" s="5">
        <v>1.79127325207198</v>
      </c>
      <c r="L51" s="5">
        <v>1.78351219196658</v>
      </c>
      <c r="M51" s="4">
        <v>5.18411458333333</v>
      </c>
      <c r="N51" s="4">
        <f>(E51+I51)/2</f>
        <v>8.47903645833333</v>
      </c>
      <c r="O51" s="4">
        <f>(F51+J51)/2</f>
        <v>0.839873595373975</v>
      </c>
      <c r="P51" s="4" t="e">
        <f>(#REF!+#REF!)/2</f>
        <v>#REF!</v>
      </c>
      <c r="Q51" s="4">
        <v>0.708333333333333</v>
      </c>
      <c r="R51" s="4">
        <v>4.57109375</v>
      </c>
      <c r="S51" s="4">
        <v>2.015625</v>
      </c>
    </row>
    <row r="52" spans="1:19">
      <c r="A52" s="5">
        <v>217</v>
      </c>
      <c r="B52" s="4">
        <v>1</v>
      </c>
      <c r="C52" s="4">
        <v>19</v>
      </c>
      <c r="D52">
        <v>0</v>
      </c>
      <c r="E52" s="4">
        <v>13</v>
      </c>
      <c r="F52" s="5">
        <v>2.06780347559581</v>
      </c>
      <c r="G52" s="5">
        <v>0.159188861590244</v>
      </c>
      <c r="H52" s="5">
        <v>0.0769845217251009</v>
      </c>
      <c r="I52" s="4">
        <v>3.73400297619047</v>
      </c>
      <c r="J52" s="5">
        <v>1.48456487788485</v>
      </c>
      <c r="K52" s="5">
        <v>1.04675038673253</v>
      </c>
      <c r="L52" s="5">
        <v>0.705089014515755</v>
      </c>
      <c r="M52" s="4">
        <v>3.42447916666666</v>
      </c>
      <c r="N52" s="4">
        <f>(E52+I52)/2</f>
        <v>8.36700148809524</v>
      </c>
      <c r="O52" s="4">
        <f>(F52+J52)/2</f>
        <v>1.77618417674033</v>
      </c>
      <c r="P52" s="4" t="e">
        <f>(#REF!+#REF!)/2</f>
        <v>#REF!</v>
      </c>
      <c r="Q52" s="4">
        <v>0.864583333333333</v>
      </c>
      <c r="R52" s="4">
        <v>3.57924107142856</v>
      </c>
      <c r="S52" s="4">
        <v>3.99107142857142</v>
      </c>
    </row>
    <row r="53" spans="1:19">
      <c r="A53" s="5">
        <v>218</v>
      </c>
      <c r="B53" s="4">
        <v>1</v>
      </c>
      <c r="C53" s="4">
        <v>20</v>
      </c>
      <c r="D53">
        <v>0</v>
      </c>
      <c r="E53" s="4">
        <v>14</v>
      </c>
      <c r="F53" s="5">
        <v>2.06780347559581</v>
      </c>
      <c r="G53" s="5">
        <v>1.9386242541876</v>
      </c>
      <c r="H53" s="5">
        <v>0.937528288866532</v>
      </c>
      <c r="I53" s="4">
        <v>5.2953125</v>
      </c>
      <c r="J53" s="5">
        <v>1.06345191571281</v>
      </c>
      <c r="K53" s="5">
        <v>0.802164957230268</v>
      </c>
      <c r="L53" s="5">
        <v>0.754302987636814</v>
      </c>
      <c r="M53" s="4">
        <v>4.65286458333333</v>
      </c>
      <c r="N53" s="4">
        <f>(E53+I53)/2</f>
        <v>9.64765625</v>
      </c>
      <c r="O53" s="4">
        <f>(F53+J53)/2</f>
        <v>1.56562769565431</v>
      </c>
      <c r="P53" s="4" t="e">
        <f>(#REF!+#REF!)/2</f>
        <v>#REF!</v>
      </c>
      <c r="Q53" s="4">
        <v>0.760416666666667</v>
      </c>
      <c r="R53" s="4">
        <v>4.97408854166666</v>
      </c>
      <c r="S53" s="4">
        <v>3.41875</v>
      </c>
    </row>
    <row r="54" spans="1:19">
      <c r="A54" s="5">
        <v>219</v>
      </c>
      <c r="B54" s="4">
        <v>1</v>
      </c>
      <c r="C54" s="4">
        <v>18</v>
      </c>
      <c r="D54">
        <v>0</v>
      </c>
      <c r="E54" s="4">
        <v>12</v>
      </c>
      <c r="F54" s="5">
        <v>2.96720474082563</v>
      </c>
      <c r="G54" s="5">
        <v>3.10571153439434</v>
      </c>
      <c r="H54" s="5">
        <v>1.04667921686124</v>
      </c>
      <c r="I54" s="4">
        <v>5.43658854166667</v>
      </c>
      <c r="J54" s="5">
        <v>2.06780347559581</v>
      </c>
      <c r="K54" s="5">
        <v>1.2410377376011</v>
      </c>
      <c r="L54" s="5">
        <v>0.600171995186107</v>
      </c>
      <c r="M54" s="4">
        <v>4.76927083333333</v>
      </c>
      <c r="N54" s="4">
        <f>(E54+I54)/2</f>
        <v>8.71829427083333</v>
      </c>
      <c r="O54" s="4">
        <f>(F54+J54)/2</f>
        <v>2.51750410821072</v>
      </c>
      <c r="P54" s="4" t="e">
        <f>(#REF!+#REF!)/2</f>
        <v>#REF!</v>
      </c>
      <c r="Q54" s="4">
        <v>0.916666666666667</v>
      </c>
      <c r="R54" s="4">
        <v>5.1029296875</v>
      </c>
      <c r="S54" s="4">
        <v>5.00625</v>
      </c>
    </row>
    <row r="55" spans="1:19">
      <c r="A55" s="5">
        <v>220</v>
      </c>
      <c r="B55" s="4">
        <v>1</v>
      </c>
      <c r="C55" s="6">
        <v>19</v>
      </c>
      <c r="D55">
        <v>0</v>
      </c>
      <c r="E55" s="4">
        <v>12</v>
      </c>
      <c r="F55" s="7">
        <v>2.16455033433319</v>
      </c>
      <c r="G55" s="6">
        <v>-0.252282361353032</v>
      </c>
      <c r="H55" s="6">
        <v>-0.116551857146232</v>
      </c>
      <c r="I55" s="6">
        <v>4.66354166666667</v>
      </c>
      <c r="J55" s="7">
        <v>2.16455033433319</v>
      </c>
      <c r="K55" s="7">
        <v>0.808924808177723</v>
      </c>
      <c r="L55" s="7">
        <v>0.3737149445531</v>
      </c>
      <c r="M55" s="6">
        <v>4.62526041666666</v>
      </c>
      <c r="N55" s="4">
        <f>(E55+I55)/2</f>
        <v>8.33177083333334</v>
      </c>
      <c r="O55" s="4">
        <f>(F55+J55)/2</f>
        <v>2.16455033433319</v>
      </c>
      <c r="P55" s="4" t="e">
        <f>(#REF!+#REF!)/2</f>
        <v>#REF!</v>
      </c>
      <c r="Q55" s="6">
        <v>0.802083333333333</v>
      </c>
      <c r="R55" s="6">
        <v>4.64440104166666</v>
      </c>
      <c r="S55" s="6">
        <v>4.64375</v>
      </c>
    </row>
    <row r="56" spans="1:19">
      <c r="A56" s="5">
        <v>221</v>
      </c>
      <c r="B56" s="4">
        <v>0</v>
      </c>
      <c r="C56" s="4">
        <v>18</v>
      </c>
      <c r="D56">
        <v>0</v>
      </c>
      <c r="E56" s="4">
        <v>12</v>
      </c>
      <c r="F56" s="5">
        <v>2.96720474082563</v>
      </c>
      <c r="G56" s="5">
        <v>4.23612538977325</v>
      </c>
      <c r="H56" s="5">
        <v>1.42764849741866</v>
      </c>
      <c r="I56" s="4">
        <v>5.89505208333333</v>
      </c>
      <c r="J56" s="5">
        <v>1.81352080690289</v>
      </c>
      <c r="K56" s="5">
        <v>1.3950623312247</v>
      </c>
      <c r="L56" s="5">
        <v>0.769256313969272</v>
      </c>
      <c r="M56" s="4">
        <v>5.15794270833333</v>
      </c>
      <c r="N56" s="4">
        <f>(E56+I56)/2</f>
        <v>8.94752604166666</v>
      </c>
      <c r="O56" s="4">
        <f>(F56+J56)/2</f>
        <v>2.39036277386426</v>
      </c>
      <c r="P56" s="4" t="e">
        <f>(#REF!+#REF!)/2</f>
        <v>#REF!</v>
      </c>
      <c r="Q56" s="4">
        <v>0.927083333333333</v>
      </c>
      <c r="R56" s="4">
        <v>5.52649739583333</v>
      </c>
      <c r="S56" s="4">
        <v>4.06875</v>
      </c>
    </row>
    <row r="57" spans="1:19">
      <c r="A57" s="5">
        <v>222</v>
      </c>
      <c r="B57" s="4">
        <v>1</v>
      </c>
      <c r="C57" s="4">
        <v>21</v>
      </c>
      <c r="D57">
        <v>0</v>
      </c>
      <c r="E57" s="4">
        <v>14</v>
      </c>
      <c r="F57" s="5">
        <v>2.63824881180759</v>
      </c>
      <c r="G57" s="5">
        <v>2.92875804907197</v>
      </c>
      <c r="H57" s="5">
        <v>1.11011441982431</v>
      </c>
      <c r="I57" s="4">
        <v>3.98723958333333</v>
      </c>
      <c r="J57" s="5">
        <v>2.63824881180759</v>
      </c>
      <c r="K57" s="5">
        <v>0.104470956692204</v>
      </c>
      <c r="L57" s="5">
        <v>0.0395985989739256</v>
      </c>
      <c r="M57" s="4">
        <v>3.17604166666666</v>
      </c>
      <c r="N57" s="4">
        <f>(E57+I57)/2</f>
        <v>8.99361979166667</v>
      </c>
      <c r="O57" s="4">
        <f>(F57+J57)/2</f>
        <v>2.63824881180759</v>
      </c>
      <c r="P57" s="4" t="e">
        <f>(#REF!+#REF!)/2</f>
        <v>#REF!</v>
      </c>
      <c r="Q57" s="4">
        <v>0.927083333333333</v>
      </c>
      <c r="R57" s="4">
        <v>3.581640625</v>
      </c>
      <c r="S57" s="4">
        <v>2.546875</v>
      </c>
    </row>
    <row r="58" spans="1:19">
      <c r="A58" s="5">
        <v>223</v>
      </c>
      <c r="B58" s="4">
        <v>1</v>
      </c>
      <c r="C58" s="4">
        <v>18</v>
      </c>
      <c r="D58">
        <v>0</v>
      </c>
      <c r="E58" s="4">
        <v>12</v>
      </c>
      <c r="F58" s="5">
        <v>2.96720474082563</v>
      </c>
      <c r="G58" s="5">
        <v>2.00301666917775</v>
      </c>
      <c r="H58" s="5">
        <v>0.675051721783246</v>
      </c>
      <c r="I58" s="4">
        <v>4.47161458333333</v>
      </c>
      <c r="J58" s="5">
        <v>1.81352080690289</v>
      </c>
      <c r="K58" s="5">
        <v>0.720582065473608</v>
      </c>
      <c r="L58" s="5">
        <v>0.397338736192504</v>
      </c>
      <c r="M58" s="4">
        <v>4.28776041666667</v>
      </c>
      <c r="N58" s="4">
        <f>(E58+I58)/2</f>
        <v>8.23580729166667</v>
      </c>
      <c r="O58" s="4">
        <f>(F58+J58)/2</f>
        <v>2.39036277386426</v>
      </c>
      <c r="P58" s="4" t="e">
        <f>(#REF!+#REF!)/2</f>
        <v>#REF!</v>
      </c>
      <c r="Q58" s="4">
        <v>0.875</v>
      </c>
      <c r="R58" s="4">
        <v>4.3796875</v>
      </c>
      <c r="S58" s="4">
        <v>1.41875</v>
      </c>
    </row>
    <row r="59" spans="1:19">
      <c r="A59" s="5">
        <v>224</v>
      </c>
      <c r="B59" s="4">
        <v>1</v>
      </c>
      <c r="C59" s="4">
        <v>18</v>
      </c>
      <c r="D59">
        <v>0</v>
      </c>
      <c r="E59" s="4">
        <v>12</v>
      </c>
      <c r="F59" s="5">
        <v>2.63824881180759</v>
      </c>
      <c r="G59" s="5">
        <v>1.53499832484653</v>
      </c>
      <c r="H59" s="5">
        <v>0.581824700527328</v>
      </c>
      <c r="I59" s="4">
        <v>4.7828125</v>
      </c>
      <c r="J59" s="5">
        <v>1.73884754657777</v>
      </c>
      <c r="K59" s="5">
        <v>3.40214749021303</v>
      </c>
      <c r="L59" s="5">
        <v>1.9565530611978</v>
      </c>
      <c r="M59" s="4">
        <v>4.36184895833333</v>
      </c>
      <c r="N59" s="4">
        <f>(E59+I59)/2</f>
        <v>8.39140625</v>
      </c>
      <c r="O59" s="4">
        <f>(F59+J59)/2</f>
        <v>2.18854817919268</v>
      </c>
      <c r="P59" s="4" t="e">
        <f>(#REF!+#REF!)/2</f>
        <v>#REF!</v>
      </c>
      <c r="Q59" s="4">
        <v>0.916666666666667</v>
      </c>
      <c r="R59" s="4">
        <v>4.57233072916667</v>
      </c>
      <c r="S59" s="4">
        <v>3.728125</v>
      </c>
    </row>
    <row r="60" spans="1:19">
      <c r="A60" s="5">
        <v>225</v>
      </c>
      <c r="B60" s="4">
        <v>1</v>
      </c>
      <c r="C60" s="4">
        <v>18</v>
      </c>
      <c r="D60">
        <v>0</v>
      </c>
      <c r="E60" s="4">
        <v>12</v>
      </c>
      <c r="F60" s="5">
        <v>2.96720474082563</v>
      </c>
      <c r="G60" s="5">
        <v>2.34524330551705</v>
      </c>
      <c r="H60" s="5">
        <v>0.79038809599114</v>
      </c>
      <c r="I60" s="4">
        <v>4.45416666666667</v>
      </c>
      <c r="J60" s="5">
        <v>1.81352080690289</v>
      </c>
      <c r="K60" s="5">
        <v>1.75236508666706</v>
      </c>
      <c r="L60" s="5">
        <v>0.966277905385449</v>
      </c>
      <c r="M60" s="4">
        <v>3.94739583333333</v>
      </c>
      <c r="N60" s="4">
        <f>(E60+I60)/2</f>
        <v>8.22708333333333</v>
      </c>
      <c r="O60" s="4">
        <f>(F60+J60)/2</f>
        <v>2.39036277386426</v>
      </c>
      <c r="P60" s="4" t="e">
        <f>(#REF!+#REF!)/2</f>
        <v>#REF!</v>
      </c>
      <c r="Q60" s="4">
        <v>0.875</v>
      </c>
      <c r="R60" s="4">
        <v>4.20078125</v>
      </c>
      <c r="S60" s="4">
        <v>1</v>
      </c>
    </row>
    <row r="61" spans="1:19">
      <c r="A61" s="5">
        <v>226</v>
      </c>
      <c r="B61" s="4">
        <v>1</v>
      </c>
      <c r="C61" s="4">
        <v>18</v>
      </c>
      <c r="D61">
        <v>0</v>
      </c>
      <c r="E61" s="4">
        <v>12</v>
      </c>
      <c r="F61" s="5">
        <v>3.53765007703741</v>
      </c>
      <c r="G61" s="5">
        <v>1.44842590649519</v>
      </c>
      <c r="H61" s="5">
        <v>0.409431649528256</v>
      </c>
      <c r="I61" s="4">
        <v>4.75260416666667</v>
      </c>
      <c r="J61" s="5">
        <v>1.96285318094263</v>
      </c>
      <c r="K61" s="5">
        <v>0.536992837002353</v>
      </c>
      <c r="L61" s="5">
        <v>0.273577688956068</v>
      </c>
      <c r="M61" s="4">
        <v>3.89739583333333</v>
      </c>
      <c r="N61" s="4">
        <f>(E61+I61)/2</f>
        <v>8.37630208333334</v>
      </c>
      <c r="O61" s="4">
        <f>(F61+J61)/2</f>
        <v>2.75025162899002</v>
      </c>
      <c r="P61" s="4" t="e">
        <f>(#REF!+#REF!)/2</f>
        <v>#REF!</v>
      </c>
      <c r="Q61" s="4">
        <v>0.9375</v>
      </c>
      <c r="R61" s="4">
        <v>4.325</v>
      </c>
      <c r="S61" s="4">
        <v>3.521875</v>
      </c>
    </row>
    <row r="62" spans="1:19">
      <c r="A62" s="5">
        <v>227</v>
      </c>
      <c r="B62" s="4">
        <v>1</v>
      </c>
      <c r="C62" s="4">
        <v>19</v>
      </c>
      <c r="D62">
        <v>0</v>
      </c>
      <c r="E62" s="4">
        <v>13</v>
      </c>
      <c r="F62" s="5">
        <v>2.96720474082563</v>
      </c>
      <c r="G62" s="5">
        <v>3.35815052448707</v>
      </c>
      <c r="H62" s="5">
        <v>1.13175558069264</v>
      </c>
      <c r="I62" s="4">
        <v>5.028515625</v>
      </c>
      <c r="J62" s="5">
        <v>2.06780347559581</v>
      </c>
      <c r="K62" s="5">
        <v>2.26595506887327</v>
      </c>
      <c r="L62" s="5">
        <v>1.09582709170191</v>
      </c>
      <c r="M62" s="4">
        <v>4.8890625</v>
      </c>
      <c r="N62" s="4">
        <f>(E62+I62)/2</f>
        <v>9.0142578125</v>
      </c>
      <c r="O62" s="4">
        <f>(F62+J62)/2</f>
        <v>2.51750410821072</v>
      </c>
      <c r="P62" s="4" t="e">
        <f>(#REF!+#REF!)/2</f>
        <v>#REF!</v>
      </c>
      <c r="Q62" s="4">
        <v>0.927083333333333</v>
      </c>
      <c r="R62" s="4">
        <v>4.9587890625</v>
      </c>
      <c r="S62" s="4">
        <v>4.240625</v>
      </c>
    </row>
    <row r="63" spans="1:19">
      <c r="A63" s="5">
        <v>228</v>
      </c>
      <c r="B63" s="4">
        <v>1</v>
      </c>
      <c r="C63" s="4">
        <v>18</v>
      </c>
      <c r="D63">
        <v>0</v>
      </c>
      <c r="E63" s="4">
        <v>12</v>
      </c>
      <c r="F63" s="5">
        <v>2.39675940461384</v>
      </c>
      <c r="G63" s="5">
        <v>0.216545614759702</v>
      </c>
      <c r="H63" s="5">
        <v>0.0903493334970728</v>
      </c>
      <c r="I63" s="4">
        <v>3.265625</v>
      </c>
      <c r="J63" s="5">
        <v>1.00435155988299</v>
      </c>
      <c r="K63" s="5">
        <v>0.988784423486715</v>
      </c>
      <c r="L63" s="5">
        <v>0.984500311426711</v>
      </c>
      <c r="M63" s="4">
        <v>3.116796875</v>
      </c>
      <c r="N63" s="4">
        <f>(E63+I63)/2</f>
        <v>7.6328125</v>
      </c>
      <c r="O63" s="4">
        <f>(F63+J63)/2</f>
        <v>1.70055548224842</v>
      </c>
      <c r="P63" s="4" t="e">
        <f>(#REF!+#REF!)/2</f>
        <v>#REF!</v>
      </c>
      <c r="Q63" s="4">
        <v>0.78125</v>
      </c>
      <c r="R63" s="4">
        <v>3.1912109375</v>
      </c>
      <c r="S63" s="4">
        <v>3.009375</v>
      </c>
    </row>
    <row r="64" spans="1:19">
      <c r="A64" s="5">
        <v>229</v>
      </c>
      <c r="B64" s="4">
        <v>1</v>
      </c>
      <c r="C64" s="4">
        <v>18</v>
      </c>
      <c r="D64">
        <v>0</v>
      </c>
      <c r="E64" s="4">
        <v>12</v>
      </c>
      <c r="F64" s="5">
        <v>2.96720474082563</v>
      </c>
      <c r="G64" s="4">
        <v>-0.381585359024626</v>
      </c>
      <c r="H64" s="4">
        <v>-0.128600953542036</v>
      </c>
      <c r="I64" s="4">
        <v>3.52721354166666</v>
      </c>
      <c r="J64" s="5">
        <v>2.63824881180759</v>
      </c>
      <c r="K64" s="5">
        <v>0.583395259782953</v>
      </c>
      <c r="L64" s="5">
        <v>0.221129734683076</v>
      </c>
      <c r="M64" s="4">
        <v>3.44739583333333</v>
      </c>
      <c r="N64" s="4">
        <f>(E64+I64)/2</f>
        <v>7.76360677083333</v>
      </c>
      <c r="O64" s="4">
        <f>(F64+J64)/2</f>
        <v>2.80272677631661</v>
      </c>
      <c r="P64" s="4" t="e">
        <f>(#REF!+#REF!)/2</f>
        <v>#REF!</v>
      </c>
      <c r="Q64" s="4">
        <v>0.916666666666667</v>
      </c>
      <c r="R64" s="4">
        <v>3.4873046875</v>
      </c>
      <c r="S64" s="4">
        <v>3.55625</v>
      </c>
    </row>
    <row r="65" spans="1:19">
      <c r="A65" s="5">
        <v>230</v>
      </c>
      <c r="B65" s="4">
        <v>1</v>
      </c>
      <c r="C65" s="4">
        <v>18</v>
      </c>
      <c r="D65">
        <v>0</v>
      </c>
      <c r="E65" s="4">
        <v>12</v>
      </c>
      <c r="F65" s="5">
        <v>1.81352080690289</v>
      </c>
      <c r="G65" s="5">
        <v>2.62559692544382</v>
      </c>
      <c r="H65" s="5">
        <v>1.44778979951588</v>
      </c>
      <c r="I65" s="4">
        <v>4.453515625</v>
      </c>
      <c r="J65" s="5">
        <v>1.81352080690289</v>
      </c>
      <c r="K65" s="5">
        <v>2.60385335616449</v>
      </c>
      <c r="L65" s="5">
        <v>1.43580010014404</v>
      </c>
      <c r="M65" s="4">
        <v>4.36419270833333</v>
      </c>
      <c r="N65" s="4">
        <f>(E65+I65)/2</f>
        <v>8.2267578125</v>
      </c>
      <c r="O65" s="4">
        <f>(F65+J65)/2</f>
        <v>1.81352080690289</v>
      </c>
      <c r="P65" s="4" t="e">
        <f>(#REF!+#REF!)/2</f>
        <v>#REF!</v>
      </c>
      <c r="Q65" s="4">
        <v>0.833333333333333</v>
      </c>
      <c r="R65" s="4">
        <v>4.40885416666667</v>
      </c>
      <c r="S65" s="4">
        <v>1.975</v>
      </c>
    </row>
    <row r="66" spans="1:19">
      <c r="A66" s="5">
        <v>231</v>
      </c>
      <c r="B66" s="4">
        <v>1</v>
      </c>
      <c r="C66" s="4">
        <v>19</v>
      </c>
      <c r="D66">
        <v>0</v>
      </c>
      <c r="E66" s="4">
        <v>12</v>
      </c>
      <c r="F66" s="5">
        <v>2.96720474082563</v>
      </c>
      <c r="G66" s="5">
        <v>0.940316861675534</v>
      </c>
      <c r="H66" s="5">
        <v>0.316903262096396</v>
      </c>
      <c r="I66" s="4">
        <v>4.14427083333333</v>
      </c>
      <c r="J66" s="5">
        <v>1.01086640041046</v>
      </c>
      <c r="K66" s="5">
        <v>0.5323863253412</v>
      </c>
      <c r="L66" s="5">
        <v>0.526663390063242</v>
      </c>
      <c r="M66" s="4">
        <v>3.57838541666667</v>
      </c>
      <c r="N66" s="4">
        <f>(E66+I66)/2</f>
        <v>8.07213541666666</v>
      </c>
      <c r="O66" s="4">
        <f>(F66+J66)/2</f>
        <v>1.98903557061804</v>
      </c>
      <c r="P66" s="4" t="e">
        <f>(#REF!+#REF!)/2</f>
        <v>#REF!</v>
      </c>
      <c r="Q66" s="4">
        <v>0.84375</v>
      </c>
      <c r="R66" s="4">
        <v>3.861328125</v>
      </c>
      <c r="S66" s="4">
        <v>3.515625</v>
      </c>
    </row>
    <row r="67" spans="1:19">
      <c r="A67" s="5">
        <v>232</v>
      </c>
      <c r="B67" s="4">
        <v>1</v>
      </c>
      <c r="C67" s="4">
        <v>18</v>
      </c>
      <c r="D67">
        <v>0</v>
      </c>
      <c r="E67" s="4">
        <v>12</v>
      </c>
      <c r="F67" s="5">
        <v>2.96720474082563</v>
      </c>
      <c r="G67" s="5">
        <v>0.776358429921984</v>
      </c>
      <c r="H67" s="5">
        <v>0.261646397109072</v>
      </c>
      <c r="I67" s="4">
        <v>3.66223958333333</v>
      </c>
      <c r="J67" s="5">
        <v>1.59410499812141</v>
      </c>
      <c r="K67" s="5">
        <v>0.630817646988043</v>
      </c>
      <c r="L67" s="5">
        <v>0.395719007048742</v>
      </c>
      <c r="M67" s="4">
        <v>3.2</v>
      </c>
      <c r="N67" s="4">
        <f>(E67+I67)/2</f>
        <v>7.83111979166666</v>
      </c>
      <c r="O67" s="4">
        <f>(F67+J67)/2</f>
        <v>2.28065486947352</v>
      </c>
      <c r="P67" s="4" t="e">
        <f>(#REF!+#REF!)/2</f>
        <v>#REF!</v>
      </c>
      <c r="Q67" s="4">
        <v>0.833333333333333</v>
      </c>
      <c r="R67" s="4">
        <v>3.43111979166667</v>
      </c>
      <c r="S67" s="4">
        <v>3</v>
      </c>
    </row>
    <row r="68" spans="1:19">
      <c r="A68" s="5">
        <v>233</v>
      </c>
      <c r="B68" s="4">
        <v>1</v>
      </c>
      <c r="C68" s="4">
        <v>18</v>
      </c>
      <c r="D68">
        <v>0</v>
      </c>
      <c r="E68" s="4">
        <v>12</v>
      </c>
      <c r="F68" s="5">
        <v>2.96720474082563</v>
      </c>
      <c r="G68" s="5">
        <v>1.08588164521336</v>
      </c>
      <c r="H68" s="5">
        <v>0.365961145273453</v>
      </c>
      <c r="I68" s="4">
        <v>5.07825520833333</v>
      </c>
      <c r="J68" s="5">
        <v>1.23028220919194</v>
      </c>
      <c r="K68" s="5">
        <v>2.14125408516224</v>
      </c>
      <c r="L68" s="5">
        <v>1.74045765204442</v>
      </c>
      <c r="M68" s="4">
        <v>4.49427083333333</v>
      </c>
      <c r="N68" s="4">
        <f>(E68+I68)/2</f>
        <v>8.53912760416667</v>
      </c>
      <c r="O68" s="4">
        <f>(F68+J68)/2</f>
        <v>2.09874347500878</v>
      </c>
      <c r="P68" s="4" t="e">
        <f>(#REF!+#REF!)/2</f>
        <v>#REF!</v>
      </c>
      <c r="Q68" s="4">
        <v>0.833333333333333</v>
      </c>
      <c r="R68" s="4">
        <v>4.78626302083333</v>
      </c>
      <c r="S68" s="4">
        <v>4.490625</v>
      </c>
    </row>
    <row r="69" spans="1:19">
      <c r="A69" s="5">
        <v>234</v>
      </c>
      <c r="B69" s="4">
        <v>1</v>
      </c>
      <c r="C69" s="4">
        <v>21</v>
      </c>
      <c r="D69">
        <v>0</v>
      </c>
      <c r="E69" s="4">
        <v>14</v>
      </c>
      <c r="F69" s="5">
        <v>1.81352080690289</v>
      </c>
      <c r="G69" s="5">
        <v>2.0329384575708</v>
      </c>
      <c r="H69" s="5">
        <v>1.12098987220478</v>
      </c>
      <c r="I69" s="4">
        <v>4.68614969135802</v>
      </c>
      <c r="J69" s="5">
        <v>0.809169247019899</v>
      </c>
      <c r="K69" s="4">
        <v>-0.0428651287958081</v>
      </c>
      <c r="L69" s="4">
        <v>-0.0529742435883182</v>
      </c>
      <c r="M69" s="4">
        <v>5.15509259259259</v>
      </c>
      <c r="N69" s="4">
        <f>(E69+I69)/2</f>
        <v>9.34307484567901</v>
      </c>
      <c r="O69" s="4">
        <f>(F69+J69)/2</f>
        <v>1.31134502696139</v>
      </c>
      <c r="P69" s="4" t="e">
        <f>(#REF!+#REF!)/2</f>
        <v>#REF!</v>
      </c>
      <c r="Q69" s="4">
        <v>0.802083333333333</v>
      </c>
      <c r="R69" s="4">
        <v>4.9206211419753</v>
      </c>
      <c r="S69" s="4">
        <v>5.00462962962963</v>
      </c>
    </row>
    <row r="70" spans="1:19">
      <c r="A70" s="5">
        <v>235</v>
      </c>
      <c r="B70" s="4">
        <v>1</v>
      </c>
      <c r="C70" s="4">
        <v>20</v>
      </c>
      <c r="D70">
        <v>0</v>
      </c>
      <c r="E70" s="4">
        <v>14</v>
      </c>
      <c r="F70" s="5">
        <v>3.53765007703741</v>
      </c>
      <c r="G70" s="5">
        <v>0.25682712955966</v>
      </c>
      <c r="H70" s="5">
        <v>0.0725982287583229</v>
      </c>
      <c r="I70" s="4">
        <v>4.43055555555555</v>
      </c>
      <c r="J70" s="5">
        <v>1.73884754657777</v>
      </c>
      <c r="K70" s="5">
        <v>1.82593833824325</v>
      </c>
      <c r="L70" s="5">
        <v>1.05008535212698</v>
      </c>
      <c r="M70" s="4">
        <v>3.90335648148148</v>
      </c>
      <c r="N70" s="4">
        <f>(E70+I70)/2</f>
        <v>9.21527777777777</v>
      </c>
      <c r="O70" s="4">
        <f>(F70+J70)/2</f>
        <v>2.63824881180759</v>
      </c>
      <c r="P70" s="4" t="e">
        <f>(#REF!+#REF!)/2</f>
        <v>#REF!</v>
      </c>
      <c r="Q70" s="4">
        <v>0.895833333333333</v>
      </c>
      <c r="R70" s="4">
        <v>4.16695601851851</v>
      </c>
      <c r="S70" s="4">
        <v>2.5</v>
      </c>
    </row>
    <row r="71" spans="1:19">
      <c r="A71" s="5">
        <v>236</v>
      </c>
      <c r="B71" s="4">
        <v>1</v>
      </c>
      <c r="C71" s="4">
        <v>17</v>
      </c>
      <c r="D71">
        <v>0</v>
      </c>
      <c r="E71" s="4">
        <v>12</v>
      </c>
      <c r="F71" s="5">
        <v>2.39675940461384</v>
      </c>
      <c r="G71" s="5">
        <v>1.13535165087646</v>
      </c>
      <c r="H71" s="5">
        <v>0.473702804165853</v>
      </c>
      <c r="I71" s="4">
        <v>5.53671875</v>
      </c>
      <c r="J71" s="5">
        <v>2.38396614311467</v>
      </c>
      <c r="K71" s="5">
        <v>2.77628749646777</v>
      </c>
      <c r="L71" s="5">
        <v>1.16456666319955</v>
      </c>
      <c r="M71" s="4">
        <v>5.51041666666667</v>
      </c>
      <c r="N71" s="4">
        <f>(E71+I71)/2</f>
        <v>8.768359375</v>
      </c>
      <c r="O71" s="4">
        <f>(F71+J71)/2</f>
        <v>2.39036277386425</v>
      </c>
      <c r="P71" s="4" t="e">
        <f>(#REF!+#REF!)/2</f>
        <v>#REF!</v>
      </c>
      <c r="Q71" s="4">
        <v>0.875</v>
      </c>
      <c r="R71" s="4">
        <v>5.52356770833333</v>
      </c>
      <c r="S71" s="4">
        <v>4.825</v>
      </c>
    </row>
    <row r="72" spans="1:19">
      <c r="A72" s="5">
        <v>237</v>
      </c>
      <c r="B72" s="4">
        <v>1</v>
      </c>
      <c r="C72" s="4">
        <v>18</v>
      </c>
      <c r="D72">
        <v>0</v>
      </c>
      <c r="E72" s="4">
        <v>12</v>
      </c>
      <c r="F72" s="5">
        <v>2.96720474082563</v>
      </c>
      <c r="G72" s="5">
        <v>3.12037367969353</v>
      </c>
      <c r="H72" s="5">
        <v>1.05162061679144</v>
      </c>
      <c r="I72" s="4">
        <v>5.48736979166667</v>
      </c>
      <c r="J72" s="5">
        <v>1.7688250385187</v>
      </c>
      <c r="K72" s="5">
        <v>2.11635877622938</v>
      </c>
      <c r="L72" s="5">
        <v>1.19647716995329</v>
      </c>
      <c r="M72" s="4">
        <v>5.03541666666667</v>
      </c>
      <c r="N72" s="4">
        <f>(E72+I72)/2</f>
        <v>8.74368489583333</v>
      </c>
      <c r="O72" s="4">
        <f>(F72+J72)/2</f>
        <v>2.36801488967216</v>
      </c>
      <c r="P72" s="4" t="e">
        <f>(#REF!+#REF!)/2</f>
        <v>#REF!</v>
      </c>
      <c r="Q72" s="4">
        <v>0.895833333333333</v>
      </c>
      <c r="R72" s="4">
        <v>5.26139322916667</v>
      </c>
      <c r="S72" s="4">
        <v>4.53125</v>
      </c>
    </row>
    <row r="73" spans="1:19">
      <c r="A73" s="5">
        <v>238</v>
      </c>
      <c r="B73" s="4">
        <v>1</v>
      </c>
      <c r="C73" s="4">
        <v>18</v>
      </c>
      <c r="D73">
        <v>0</v>
      </c>
      <c r="E73" s="4">
        <v>12</v>
      </c>
      <c r="F73" s="5">
        <v>3.53765007703741</v>
      </c>
      <c r="G73" s="5">
        <v>3.09432702062631</v>
      </c>
      <c r="H73" s="5">
        <v>0.87468431112261</v>
      </c>
      <c r="I73" s="4">
        <v>5.68463541666667</v>
      </c>
      <c r="J73" s="5">
        <v>1.59410499812141</v>
      </c>
      <c r="K73" s="5">
        <v>1.65213133690692</v>
      </c>
      <c r="L73" s="5">
        <v>1.03640057515275</v>
      </c>
      <c r="M73" s="4">
        <v>5.24557291666667</v>
      </c>
      <c r="N73" s="4">
        <f>(E73+I73)/2</f>
        <v>8.84231770833333</v>
      </c>
      <c r="O73" s="4">
        <f>(F73+J73)/2</f>
        <v>2.56587753757941</v>
      </c>
      <c r="P73" s="4" t="e">
        <f>(#REF!+#REF!)/2</f>
        <v>#REF!</v>
      </c>
      <c r="Q73" s="4">
        <v>0.90625</v>
      </c>
      <c r="R73" s="4">
        <v>5.46510416666666</v>
      </c>
      <c r="S73" s="4">
        <v>3.959375</v>
      </c>
    </row>
    <row r="74" spans="1:19">
      <c r="A74" s="5">
        <v>239</v>
      </c>
      <c r="B74" s="4">
        <v>0</v>
      </c>
      <c r="C74" s="4">
        <v>19</v>
      </c>
      <c r="D74">
        <v>0</v>
      </c>
      <c r="E74" s="4">
        <v>12</v>
      </c>
      <c r="F74" s="5">
        <v>2.38396614311468</v>
      </c>
      <c r="G74" s="5">
        <v>2.00633871996298</v>
      </c>
      <c r="H74" s="5">
        <v>0.84159698566091</v>
      </c>
      <c r="I74" s="4">
        <v>5.91171875</v>
      </c>
      <c r="J74" s="5">
        <v>1.96285318094263</v>
      </c>
      <c r="K74" s="5">
        <v>1.4180948833313</v>
      </c>
      <c r="L74" s="5">
        <v>0.722466100419331</v>
      </c>
      <c r="M74" s="4">
        <v>5.92526041666666</v>
      </c>
      <c r="N74" s="4">
        <f>(E74+I74)/2</f>
        <v>8.955859375</v>
      </c>
      <c r="O74" s="4">
        <f>(F74+J74)/2</f>
        <v>2.17340966202865</v>
      </c>
      <c r="P74" s="4" t="e">
        <f>(#REF!+#REF!)/2</f>
        <v>#REF!</v>
      </c>
      <c r="Q74" s="4">
        <v>0.75</v>
      </c>
      <c r="R74" s="4">
        <v>5.91848958333333</v>
      </c>
      <c r="S74" s="4">
        <v>5.94375</v>
      </c>
    </row>
    <row r="75" spans="1:19">
      <c r="A75" s="5">
        <v>240</v>
      </c>
      <c r="B75" s="4">
        <v>0</v>
      </c>
      <c r="C75" s="4">
        <v>20</v>
      </c>
      <c r="D75">
        <v>0</v>
      </c>
      <c r="E75" s="4">
        <v>12</v>
      </c>
      <c r="F75" s="5">
        <v>2.96720474082563</v>
      </c>
      <c r="G75" s="5">
        <v>3.11645836990128</v>
      </c>
      <c r="H75" s="5">
        <v>1.0503010887729</v>
      </c>
      <c r="I75" s="4">
        <v>5.9953125</v>
      </c>
      <c r="J75" s="5">
        <v>2.96720474082563</v>
      </c>
      <c r="K75" s="5">
        <v>3.11645795156355</v>
      </c>
      <c r="L75" s="5">
        <v>1.05030094778575</v>
      </c>
      <c r="M75" s="4">
        <v>5.996875</v>
      </c>
      <c r="N75" s="4">
        <f>(E75+I75)/2</f>
        <v>8.99765625</v>
      </c>
      <c r="O75" s="4">
        <f>(F75+J75)/2</f>
        <v>2.96720474082563</v>
      </c>
      <c r="P75" s="4" t="e">
        <f>(#REF!+#REF!)/2</f>
        <v>#REF!</v>
      </c>
      <c r="Q75" s="4">
        <v>0.90625</v>
      </c>
      <c r="R75" s="4">
        <v>5.99609375</v>
      </c>
      <c r="S75" s="4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wlp</cp:lastModifiedBy>
  <dcterms:created xsi:type="dcterms:W3CDTF">2026-10-02T13:35:00Z</dcterms:created>
  <dcterms:modified xsi:type="dcterms:W3CDTF">2026-10-03T02:33:45Z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</Properties>
</file>